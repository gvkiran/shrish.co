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Repo\GitHub\shrish.co\premerge-fixes\"/>
    </mc:Choice>
  </mc:AlternateContent>
  <xr:revisionPtr revIDLastSave="0" documentId="11_12FE2AF0DCE68224C60931C92CD83DA24A530B0C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etup &amp; How To" sheetId="1" r:id="rId1"/>
    <sheet name="Test Cases" sheetId="2" r:id="rId2"/>
    <sheet name="Summary" sheetId="3" r:id="rId3"/>
  </sheets>
  <definedNames>
    <definedName name="_xlnm._FilterDatabase" localSheetId="1" hidden="1">'Test Cases'!$A$1:$K$33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15" i="3" s="1"/>
  <c r="B11" i="3"/>
  <c r="B8" i="3"/>
  <c r="B7" i="3"/>
  <c r="B6" i="3"/>
  <c r="B5" i="3"/>
  <c r="B4" i="3"/>
  <c r="B9" i="3" s="1"/>
</calcChain>
</file>

<file path=xl/sharedStrings.xml><?xml version="1.0" encoding="utf-8"?>
<sst xmlns="http://schemas.openxmlformats.org/spreadsheetml/2006/main" count="279" uniqueCount="224">
  <si>
    <t>SHRISH Checkout — QA Test Plan (Hybrid Pickup + Online Stripe Payment + Shipping)</t>
  </si>
  <si>
    <t>Purpose: validate the hardened checkout on DEV before enabling live payments in production. Fill Status + Notes on the 'Test Cases' tab; the 'Summary' tab computes Go / No-Go.</t>
  </si>
  <si>
    <t>ENVIRONMENT</t>
  </si>
  <si>
    <t>Test on https://dev.shrish.co AFTER the Firebase functions are deployed in TEST MODE (Stripe TEST keys, STRIPE_PAYMENTS_ENABLED=true).</t>
  </si>
  <si>
    <t>Stripe test card</t>
  </si>
  <si>
    <t>4242 4242 4242 4242  •  any future expiry  •  any CVC  •  any ZIP</t>
  </si>
  <si>
    <t>Non-mango item</t>
  </si>
  <si>
    <t>Add a Putharekulu / pickle / podi / sweet from the Shop → triggers ONLINE payment + shipping option.</t>
  </si>
  <si>
    <t>Mango item</t>
  </si>
  <si>
    <t>Add any mango → used for PICKUP tests.</t>
  </si>
  <si>
    <t>Mixed cart</t>
  </si>
  <si>
    <t>One mango + one non-mango item together.</t>
  </si>
  <si>
    <t>Admin check</t>
  </si>
  <si>
    <t>Log in as contact@shrish.co to confirm order status flips to 'paid'.</t>
  </si>
  <si>
    <t>Autocomplete</t>
  </si>
  <si>
    <t>Requires 'Places API (New)' enabled on the Google Cloud project (done).</t>
  </si>
  <si>
    <t>Cache</t>
  </si>
  <si>
    <t>After each deploy, hard-reload (Ctrl+Shift+R) to load fresh JS/CSS.</t>
  </si>
  <si>
    <t>PRIORITY</t>
  </si>
  <si>
    <t>P0 = must pass to go live (blocker)  •  P1 = important  •  P2 = nice-to-have / polish</t>
  </si>
  <si>
    <t>STATUS values</t>
  </si>
  <si>
    <t>Pass  •  Fail  •  Blocked  •  N/A   (dropdown on the Test Cases tab)</t>
  </si>
  <si>
    <t>GO / NO-GO RULE</t>
  </si>
  <si>
    <t>NO-GO if ANY P0 is Fail/Blocked or left blank. See Summary tab.</t>
  </si>
  <si>
    <t>Tester</t>
  </si>
  <si>
    <t>Test date</t>
  </si>
  <si>
    <t>Build / commit</t>
  </si>
  <si>
    <t>developement @ 16efb1d (or later)</t>
  </si>
  <si>
    <t>ID</t>
  </si>
  <si>
    <t>Area</t>
  </si>
  <si>
    <t>Pri</t>
  </si>
  <si>
    <t>Test Case</t>
  </si>
  <si>
    <t>Preconditions</t>
  </si>
  <si>
    <t>Steps</t>
  </si>
  <si>
    <t>Expected Result</t>
  </si>
  <si>
    <t>Status</t>
  </si>
  <si>
    <t>Actual Result / Notes</t>
  </si>
  <si>
    <t>Date</t>
  </si>
  <si>
    <t>A1</t>
  </si>
  <si>
    <t>Payment routing</t>
  </si>
  <si>
    <t>P0</t>
  </si>
  <si>
    <t>Mango-only cart pays at pickup</t>
  </si>
  <si>
    <t>Cart = mango only</t>
  </si>
  <si>
    <t>Add a mango → Checkout → reach Fulfillment/Payment</t>
  </si>
  <si>
    <t>Shows 'pay at pickup' (cash/card/Zelle). NO Stripe. No shipping option. Total = subtotal + 1% tax (no shipping).</t>
  </si>
  <si>
    <t>A2</t>
  </si>
  <si>
    <t>Mixed cart pays at pickup</t>
  </si>
  <si>
    <t>Cart = mango + non-mango</t>
  </si>
  <si>
    <t>Add 1 mango + 1 pickle → Checkout</t>
  </si>
  <si>
    <t>Pay-at-pickup offered; note explains mixed carts pay at pickup.</t>
  </si>
  <si>
    <t>A3</t>
  </si>
  <si>
    <t>Non-mango-only requires online Stripe</t>
  </si>
  <si>
    <t>Cart = non-mango only</t>
  </si>
  <si>
    <t>Add a Putharekulu → Checkout</t>
  </si>
  <si>
    <t>'Secure card payment with Stripe'. Pickup-only payment NOT offered. Shipping option available.</t>
  </si>
  <si>
    <t>B1</t>
  </si>
  <si>
    <t>Pricing</t>
  </si>
  <si>
    <t>Subtotal correct</t>
  </si>
  <si>
    <t>Any cart</t>
  </si>
  <si>
    <t>Compare order summary subtotal to cart</t>
  </si>
  <si>
    <t>Subtotal = sum of line totals.</t>
  </si>
  <si>
    <t>B2</t>
  </si>
  <si>
    <t>Virginia sales tax = 1%</t>
  </si>
  <si>
    <t>Read tax line</t>
  </si>
  <si>
    <t>Tax = 1% of subtotal (e.g., $14.98 → $0.15).</t>
  </si>
  <si>
    <t>B3</t>
  </si>
  <si>
    <t>Shipping</t>
  </si>
  <si>
    <t>P1</t>
  </si>
  <si>
    <t>Standard shipping under threshold</t>
  </si>
  <si>
    <t>Non-mango cart &lt; $75, Ship to me</t>
  </si>
  <si>
    <t>Select 'Ship to me'</t>
  </si>
  <si>
    <t>Shipping = $8.99; 'Add $X more for free shipping' where X = 75 − subtotal.</t>
  </si>
  <si>
    <t>B4</t>
  </si>
  <si>
    <t>Free shipping at/over $75</t>
  </si>
  <si>
    <t>Non-mango cart ≥ $75, Ship to me</t>
  </si>
  <si>
    <t>Add items to reach $75+ → Ship to me</t>
  </si>
  <si>
    <t>Shipping = FREE.</t>
  </si>
  <si>
    <t>B5</t>
  </si>
  <si>
    <t>Pickup = no shipping charge</t>
  </si>
  <si>
    <t>Non-mango cart, Pickup</t>
  </si>
  <si>
    <t>Select Pickup</t>
  </si>
  <si>
    <t>Shipping 'Not selected' / $0; total excludes shipping.</t>
  </si>
  <si>
    <t>B6</t>
  </si>
  <si>
    <t>Totals match Stripe page</t>
  </si>
  <si>
    <t>Non-mango cart, Ship to me</t>
  </si>
  <si>
    <t>Proceed to Stripe</t>
  </si>
  <si>
    <t>Product prices + 1% tax + shipping on Stripe page EXACTLY match the order summary total.</t>
  </si>
  <si>
    <t>C1</t>
  </si>
  <si>
    <t>SECURITY</t>
  </si>
  <si>
    <t>Price tampering is blocked (CRITICAL)</t>
  </si>
  <si>
    <t>Online-eligible order created</t>
  </si>
  <si>
    <t>In DevTools/Firestore lower an order item's price (e.g., $0.50) → start checkout</t>
  </si>
  <si>
    <t>Stripe charges the REAL catalog price, NOT the tampered one. (Server rebuilds prices from the products catalog.)</t>
  </si>
  <si>
    <t>C2</t>
  </si>
  <si>
    <t>Unknown/removed product rejected</t>
  </si>
  <si>
    <t>Order item points to missing product</t>
  </si>
  <si>
    <t>Attempt checkout with an invalid productId</t>
  </si>
  <si>
    <t>Checkout blocked with an error; NO $0 / partial charge.</t>
  </si>
  <si>
    <t>C3</t>
  </si>
  <si>
    <t>Quantity honored, price authoritative</t>
  </si>
  <si>
    <t>Online-eligible order</t>
  </si>
  <si>
    <t>Change qty to a valid number</t>
  </si>
  <si>
    <t>Charged = real unit price × quantity.</t>
  </si>
  <si>
    <t>D1</t>
  </si>
  <si>
    <t>Stripe</t>
  </si>
  <si>
    <t>Successful test payment</t>
  </si>
  <si>
    <t>Stripe TEST mode ON</t>
  </si>
  <si>
    <t>Pay with 4242 4242 4242 4242</t>
  </si>
  <si>
    <t>Redirects back to order confirmation with an order number.</t>
  </si>
  <si>
    <t>D2</t>
  </si>
  <si>
    <t>Order marked paid + email</t>
  </si>
  <si>
    <t>Completed a test payment</t>
  </si>
  <si>
    <t>Check admin/Firestore + inbox</t>
  </si>
  <si>
    <t>Order status = 'paid'; confirmation email says 'Payment was completed online.'</t>
  </si>
  <si>
    <t>D3</t>
  </si>
  <si>
    <t>Cancel path</t>
  </si>
  <si>
    <t>On Stripe checkout page</t>
  </si>
  <si>
    <t>Click back/cancel</t>
  </si>
  <si>
    <t>Returns to checkout as cancelled; order NOT marked paid.</t>
  </si>
  <si>
    <t>D4</t>
  </si>
  <si>
    <t>P2</t>
  </si>
  <si>
    <t>Abandoned checkout</t>
  </si>
  <si>
    <t>Checkout started</t>
  </si>
  <si>
    <t>Close Stripe without paying</t>
  </si>
  <si>
    <t>Order stays 'checkout_started'/'expired'; never 'paid'.</t>
  </si>
  <si>
    <t>D5</t>
  </si>
  <si>
    <t>Kill-switch works</t>
  </si>
  <si>
    <t>STRIPE_PAYMENTS_ENABLED=false</t>
  </si>
  <si>
    <t>Try online checkout with flag off</t>
  </si>
  <si>
    <t>Friendly 'online payments temporarily unavailable' message; no crash.</t>
  </si>
  <si>
    <t>E1</t>
  </si>
  <si>
    <t>Address</t>
  </si>
  <si>
    <t>Autocomplete suggestions</t>
  </si>
  <si>
    <t>Ship to me, Places API (New) on</t>
  </si>
  <si>
    <t>Type a street address (4+ chars)</t>
  </si>
  <si>
    <t>Google suggestions appear; selecting one fills Street/City/State/ZIP.</t>
  </si>
  <si>
    <t>E2</t>
  </si>
  <si>
    <t>Invalid address blocked pre-payment</t>
  </si>
  <si>
    <t>Ship to me</t>
  </si>
  <si>
    <t>Enter incomplete/invalid address (bad ZIP or state) → pay</t>
  </si>
  <si>
    <t>Blocked with 'shipping address required' BEFORE Stripe.</t>
  </si>
  <si>
    <t>E3</t>
  </si>
  <si>
    <t>Manual entry fallback</t>
  </si>
  <si>
    <t>If suggestions don't load, type full address manually</t>
  </si>
  <si>
    <t>Fields accept manual entry; checkout proceeds.</t>
  </si>
  <si>
    <t>F1</t>
  </si>
  <si>
    <t>Refunds</t>
  </si>
  <si>
    <t>Refund request submits</t>
  </si>
  <si>
    <t>Logged-in customer with an order</t>
  </si>
  <si>
    <t>Submit a refund request</t>
  </si>
  <si>
    <t>Saves with no permission error; visible to admin.</t>
  </si>
  <si>
    <t>G1</t>
  </si>
  <si>
    <t>Regression</t>
  </si>
  <si>
    <t>Customer login</t>
  </si>
  <si>
    <t>Existing account</t>
  </si>
  <si>
    <t>Log in</t>
  </si>
  <si>
    <t>Login succeeds; account loads.</t>
  </si>
  <si>
    <t>G2</t>
  </si>
  <si>
    <t>Password reset</t>
  </si>
  <si>
    <t>Request password reset</t>
  </si>
  <si>
    <t>Reset email received; reset works.</t>
  </si>
  <si>
    <t>G3</t>
  </si>
  <si>
    <t>Order history</t>
  </si>
  <si>
    <t>Logged-in customer</t>
  </si>
  <si>
    <t>Open order history</t>
  </si>
  <si>
    <t>Past orders load correctly.</t>
  </si>
  <si>
    <t>G4</t>
  </si>
  <si>
    <t>Pickup order end-to-end</t>
  </si>
  <si>
    <t>Mango cart</t>
  </si>
  <si>
    <t>Place a pickup order fully</t>
  </si>
  <si>
    <t>Order places; confirmation + email received (pay at pickup).</t>
  </si>
  <si>
    <t>H1</t>
  </si>
  <si>
    <t>UI / Design</t>
  </si>
  <si>
    <t>Checkout labels legible on dark theme</t>
  </si>
  <si>
    <t>Checkout page</t>
  </si>
  <si>
    <t>Inspect all field labels</t>
  </si>
  <si>
    <t>First/Last Name, Phone, Email, Street, Apt, City, State, ZIP labels are readable (gold), not near-black.</t>
  </si>
  <si>
    <t>H2</t>
  </si>
  <si>
    <t>Helper text readable</t>
  </si>
  <si>
    <t>Shipping form</t>
  </si>
  <si>
    <t>Read 'Address suggestions…' helper</t>
  </si>
  <si>
    <t>Legible; not restyled oddly.</t>
  </si>
  <si>
    <t>H3</t>
  </si>
  <si>
    <t>Mobile responsive</t>
  </si>
  <si>
    <t>Phone / narrow viewport</t>
  </si>
  <si>
    <t>Open checkout on a phone</t>
  </si>
  <si>
    <t>Stepper, fields, order summary, totals render and are usable.</t>
  </si>
  <si>
    <t>H4</t>
  </si>
  <si>
    <t>Cross-browser</t>
  </si>
  <si>
    <t>Multiple browsers</t>
  </si>
  <si>
    <t>Test Chrome, Safari, Firefox (+ iOS/Android)</t>
  </si>
  <si>
    <t>Layout + checkout work; no broken elements.</t>
  </si>
  <si>
    <t>I1</t>
  </si>
  <si>
    <t>Fresh assets after deploy</t>
  </si>
  <si>
    <t>Post-deploy</t>
  </si>
  <si>
    <t>Hard reload; check DevTools Network</t>
  </si>
  <si>
    <t>Loads data.js/main.js ?v=premerge-20260702, order-firebase ?v=runtime-config-fallback-20260702, checkout-luxe ?v=dark-checkout-labels-20260702.</t>
  </si>
  <si>
    <t>I2</t>
  </si>
  <si>
    <t>No console errors</t>
  </si>
  <si>
    <t>Shop + checkout</t>
  </si>
  <si>
    <t>Open DevTools console</t>
  </si>
  <si>
    <t>No JavaScript errors during browse + checkout.</t>
  </si>
  <si>
    <t>J1</t>
  </si>
  <si>
    <t>Legal/Copy</t>
  </si>
  <si>
    <t>Policies reflect shipping + online pay</t>
  </si>
  <si>
    <t>—</t>
  </si>
  <si>
    <t>Read Terms/Refund/Privacy + homepage FAQ</t>
  </si>
  <si>
    <t>Mention shipping + online payment; FAQ: mango=pickup, non-mango=online.</t>
  </si>
  <si>
    <t>QA Summary — SHRISH Checkout Go/No-Go</t>
  </si>
  <si>
    <t>Metric</t>
  </si>
  <si>
    <t>Count</t>
  </si>
  <si>
    <t>Total test cases</t>
  </si>
  <si>
    <t>Pass</t>
  </si>
  <si>
    <t>Fail</t>
  </si>
  <si>
    <t>Blocked</t>
  </si>
  <si>
    <t>N/A</t>
  </si>
  <si>
    <t>Not yet run (blank)</t>
  </si>
  <si>
    <t>P0 total (blockers)</t>
  </si>
  <si>
    <t>P0 Fail or Blocked</t>
  </si>
  <si>
    <t>P0 not yet run</t>
  </si>
  <si>
    <t>VERDICT</t>
  </si>
  <si>
    <t>Sign-off (QA):</t>
  </si>
  <si>
    <t>Date:</t>
  </si>
  <si>
    <t>Approved for prod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</si>
</sst>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4A2C0A"/>
      <name val="Arial"/>
      <charset val="1"/>
    </font>
    <font>
      <sz val="10"/>
      <color rgb="FF000000"/>
      <name val="Arial"/>
      <charset val="1"/>
    </font>
    <font>
      <sz val="10"/>
      <color rgb="FF3D2A0A"/>
      <name val="Arial"/>
      <charset val="1"/>
    </font>
    <font>
      <b/>
      <sz val="10"/>
      <color rgb="FF3D2A0A"/>
      <name val="Arial"/>
      <charset val="1"/>
    </font>
    <font>
      <b/>
      <sz val="10"/>
      <color rgb="FFFFFFFF"/>
      <name val="Arial"/>
      <charset val="1"/>
    </font>
    <font>
      <b/>
      <sz val="10"/>
      <color rgb="FF4A2C0A"/>
      <name val="Arial"/>
      <charset val="1"/>
    </font>
    <font>
      <b/>
      <sz val="10"/>
      <color rgb="FF000000"/>
      <name val="Arial"/>
      <charset val="1"/>
    </font>
    <font>
      <sz val="10"/>
      <color rgb="FF1E7B34"/>
      <name val="Arial"/>
      <charset val="1"/>
    </font>
    <font>
      <sz val="10"/>
      <color rgb="FFB02A37"/>
      <name val="Arial"/>
      <charset val="1"/>
    </font>
    <font>
      <sz val="10"/>
      <color rgb="FFB54708"/>
      <name val="Arial"/>
      <charset val="1"/>
    </font>
    <font>
      <b/>
      <sz val="10"/>
      <color rgb="FFB02A37"/>
      <name val="Arial"/>
      <charset val="1"/>
    </font>
    <font>
      <b/>
      <sz val="10"/>
      <color rgb="FFB54708"/>
      <name val="Arial"/>
      <charset val="1"/>
    </font>
    <font>
      <b/>
      <sz val="12"/>
      <color rgb="FF4A2C0A"/>
      <name val="Arial"/>
      <charset val="1"/>
    </font>
    <font>
      <b/>
      <sz val="12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3D2A0A"/>
        <bgColor rgb="FF4A2C0A"/>
      </patternFill>
    </fill>
    <fill>
      <patternFill patternType="solid">
        <fgColor rgb="FFF8D7DA"/>
        <bgColor rgb="FFE9ECEF"/>
      </patternFill>
    </fill>
    <fill>
      <patternFill patternType="solid">
        <fgColor rgb="FFFFF3CD"/>
        <bgColor rgb="FFE9ECEF"/>
      </patternFill>
    </fill>
    <fill>
      <patternFill patternType="solid">
        <fgColor rgb="FFE9ECEF"/>
        <bgColor rgb="FFFFF3CD"/>
      </patternFill>
    </fill>
  </fills>
  <borders count="2">
    <border>
      <left/>
      <right/>
      <top/>
      <bottom/>
      <diagonal/>
    </border>
    <border>
      <left style="thin">
        <color rgb="FFD9C9A8"/>
      </left>
      <right style="thin">
        <color rgb="FFD9C9A8"/>
      </right>
      <top style="thin">
        <color rgb="FFD9C9A8"/>
      </top>
      <bottom style="thin">
        <color rgb="FFD9C9A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4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D9C9A8"/>
      <rgbColor rgb="FF808080"/>
      <rgbColor rgb="FF9999FF"/>
      <rgbColor rgb="FFB02A37"/>
      <rgbColor rgb="FFFFF3CD"/>
      <rgbColor rgb="FFE9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D2A0A"/>
      <rgbColor rgb="FFB54708"/>
      <rgbColor rgb="FF993366"/>
      <rgbColor rgb="FF333399"/>
      <rgbColor rgb="FF4A2C0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tabSelected="1" zoomScaleNormal="100" workbookViewId="0"/>
  </sheetViews>
  <sheetFormatPr defaultColWidth="8.7109375" defaultRowHeight="15" x14ac:dyDescent="0.25"/>
  <cols>
    <col min="1" max="1" width="20" customWidth="1"/>
    <col min="2" max="2" width="115" customWidth="1"/>
  </cols>
  <sheetData>
    <row r="1" spans="1:2" ht="18" x14ac:dyDescent="0.25">
      <c r="A1" s="1" t="s">
        <v>0</v>
      </c>
    </row>
    <row r="2" spans="1:2" ht="114.75" x14ac:dyDescent="0.25">
      <c r="A2" s="2" t="s">
        <v>1</v>
      </c>
    </row>
    <row r="4" spans="1:2" ht="15.75" customHeight="1" x14ac:dyDescent="0.25">
      <c r="A4" s="3"/>
      <c r="B4" s="2"/>
    </row>
    <row r="5" spans="1:2" ht="15.75" customHeight="1" x14ac:dyDescent="0.25">
      <c r="A5" s="4" t="s">
        <v>2</v>
      </c>
      <c r="B5" s="2" t="s">
        <v>3</v>
      </c>
    </row>
    <row r="6" spans="1:2" ht="15.75" customHeight="1" x14ac:dyDescent="0.25">
      <c r="A6" s="4" t="s">
        <v>4</v>
      </c>
      <c r="B6" s="2" t="s">
        <v>5</v>
      </c>
    </row>
    <row r="7" spans="1:2" ht="15.75" customHeight="1" x14ac:dyDescent="0.25">
      <c r="A7" s="4" t="s">
        <v>6</v>
      </c>
      <c r="B7" s="2" t="s">
        <v>7</v>
      </c>
    </row>
    <row r="8" spans="1:2" ht="15.75" customHeight="1" x14ac:dyDescent="0.25">
      <c r="A8" s="4" t="s">
        <v>8</v>
      </c>
      <c r="B8" s="2" t="s">
        <v>9</v>
      </c>
    </row>
    <row r="9" spans="1:2" ht="15.75" customHeight="1" x14ac:dyDescent="0.25">
      <c r="A9" s="4" t="s">
        <v>10</v>
      </c>
      <c r="B9" s="2" t="s">
        <v>11</v>
      </c>
    </row>
    <row r="10" spans="1:2" ht="15.75" customHeight="1" x14ac:dyDescent="0.25">
      <c r="A10" s="4" t="s">
        <v>12</v>
      </c>
      <c r="B10" s="2" t="s">
        <v>13</v>
      </c>
    </row>
    <row r="11" spans="1:2" ht="15.75" customHeight="1" x14ac:dyDescent="0.25">
      <c r="A11" s="4" t="s">
        <v>14</v>
      </c>
      <c r="B11" s="2" t="s">
        <v>15</v>
      </c>
    </row>
    <row r="12" spans="1:2" ht="15.75" customHeight="1" x14ac:dyDescent="0.25">
      <c r="A12" s="4" t="s">
        <v>16</v>
      </c>
      <c r="B12" s="2" t="s">
        <v>17</v>
      </c>
    </row>
    <row r="13" spans="1:2" ht="15.75" customHeight="1" x14ac:dyDescent="0.25">
      <c r="A13" s="3"/>
      <c r="B13" s="2"/>
    </row>
    <row r="14" spans="1:2" ht="15.75" customHeight="1" x14ac:dyDescent="0.25">
      <c r="A14" s="4" t="s">
        <v>18</v>
      </c>
      <c r="B14" s="2" t="s">
        <v>19</v>
      </c>
    </row>
    <row r="15" spans="1:2" ht="15.75" customHeight="1" x14ac:dyDescent="0.25">
      <c r="A15" s="4" t="s">
        <v>20</v>
      </c>
      <c r="B15" s="2" t="s">
        <v>21</v>
      </c>
    </row>
    <row r="16" spans="1:2" ht="15.75" customHeight="1" x14ac:dyDescent="0.25">
      <c r="A16" s="4" t="s">
        <v>22</v>
      </c>
      <c r="B16" s="2" t="s">
        <v>23</v>
      </c>
    </row>
    <row r="17" spans="1:2" ht="15.75" customHeight="1" x14ac:dyDescent="0.25">
      <c r="A17" s="3"/>
      <c r="B17" s="2"/>
    </row>
    <row r="18" spans="1:2" ht="15.75" customHeight="1" x14ac:dyDescent="0.25">
      <c r="A18" s="4" t="s">
        <v>24</v>
      </c>
      <c r="B18" s="2"/>
    </row>
    <row r="19" spans="1:2" ht="15.75" customHeight="1" x14ac:dyDescent="0.25">
      <c r="A19" s="4" t="s">
        <v>25</v>
      </c>
      <c r="B19" s="2"/>
    </row>
    <row r="20" spans="1:2" ht="15.75" customHeight="1" x14ac:dyDescent="0.25">
      <c r="A20" s="4" t="s">
        <v>26</v>
      </c>
      <c r="B20" s="2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15" customWidth="1"/>
    <col min="3" max="3" width="6" customWidth="1"/>
    <col min="4" max="4" width="30" customWidth="1"/>
    <col min="5" max="5" width="24" customWidth="1"/>
    <col min="6" max="6" width="34" customWidth="1"/>
    <col min="7" max="7" width="46" customWidth="1"/>
    <col min="8" max="8" width="10" customWidth="1"/>
    <col min="9" max="9" width="34" customWidth="1"/>
    <col min="10" max="11" width="12" customWidth="1"/>
  </cols>
  <sheetData>
    <row r="1" spans="1:11" x14ac:dyDescent="0.25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24</v>
      </c>
      <c r="K1" s="5" t="s">
        <v>37</v>
      </c>
    </row>
    <row r="2" spans="1:11" ht="45.75" customHeight="1" x14ac:dyDescent="0.25">
      <c r="A2" s="6" t="s">
        <v>38</v>
      </c>
      <c r="B2" s="2" t="s">
        <v>39</v>
      </c>
      <c r="C2" s="7" t="s">
        <v>40</v>
      </c>
      <c r="D2" s="8" t="s">
        <v>41</v>
      </c>
      <c r="E2" s="2" t="s">
        <v>42</v>
      </c>
      <c r="F2" s="2" t="s">
        <v>43</v>
      </c>
      <c r="G2" s="2" t="s">
        <v>44</v>
      </c>
      <c r="H2" s="2"/>
      <c r="I2" s="2"/>
      <c r="J2" s="2"/>
      <c r="K2" s="2"/>
    </row>
    <row r="3" spans="1:11" ht="45.75" customHeight="1" x14ac:dyDescent="0.25">
      <c r="A3" s="6" t="s">
        <v>45</v>
      </c>
      <c r="B3" s="2" t="s">
        <v>39</v>
      </c>
      <c r="C3" s="7" t="s">
        <v>40</v>
      </c>
      <c r="D3" s="8" t="s">
        <v>46</v>
      </c>
      <c r="E3" s="2" t="s">
        <v>47</v>
      </c>
      <c r="F3" s="2" t="s">
        <v>48</v>
      </c>
      <c r="G3" s="2" t="s">
        <v>49</v>
      </c>
      <c r="H3" s="2"/>
      <c r="I3" s="2"/>
      <c r="J3" s="2"/>
      <c r="K3" s="2"/>
    </row>
    <row r="4" spans="1:11" ht="45.75" customHeight="1" x14ac:dyDescent="0.25">
      <c r="A4" s="6" t="s">
        <v>50</v>
      </c>
      <c r="B4" s="2" t="s">
        <v>39</v>
      </c>
      <c r="C4" s="7" t="s">
        <v>40</v>
      </c>
      <c r="D4" s="8" t="s">
        <v>51</v>
      </c>
      <c r="E4" s="2" t="s">
        <v>52</v>
      </c>
      <c r="F4" s="2" t="s">
        <v>53</v>
      </c>
      <c r="G4" s="2" t="s">
        <v>54</v>
      </c>
      <c r="H4" s="2"/>
      <c r="I4" s="2"/>
      <c r="J4" s="2"/>
      <c r="K4" s="2"/>
    </row>
    <row r="5" spans="1:11" ht="45.75" customHeight="1" x14ac:dyDescent="0.25">
      <c r="A5" s="6" t="s">
        <v>55</v>
      </c>
      <c r="B5" s="2" t="s">
        <v>56</v>
      </c>
      <c r="C5" s="7" t="s">
        <v>40</v>
      </c>
      <c r="D5" s="8" t="s">
        <v>57</v>
      </c>
      <c r="E5" s="2" t="s">
        <v>58</v>
      </c>
      <c r="F5" s="2" t="s">
        <v>59</v>
      </c>
      <c r="G5" s="2" t="s">
        <v>60</v>
      </c>
      <c r="H5" s="2"/>
      <c r="I5" s="2"/>
      <c r="J5" s="2"/>
      <c r="K5" s="2"/>
    </row>
    <row r="6" spans="1:11" ht="45.75" customHeight="1" x14ac:dyDescent="0.25">
      <c r="A6" s="6" t="s">
        <v>61</v>
      </c>
      <c r="B6" s="2" t="s">
        <v>56</v>
      </c>
      <c r="C6" s="7" t="s">
        <v>40</v>
      </c>
      <c r="D6" s="8" t="s">
        <v>62</v>
      </c>
      <c r="E6" s="2" t="s">
        <v>58</v>
      </c>
      <c r="F6" s="2" t="s">
        <v>63</v>
      </c>
      <c r="G6" s="2" t="s">
        <v>64</v>
      </c>
      <c r="H6" s="2"/>
      <c r="I6" s="2"/>
      <c r="J6" s="2"/>
      <c r="K6" s="2"/>
    </row>
    <row r="7" spans="1:11" ht="45.75" customHeight="1" x14ac:dyDescent="0.25">
      <c r="A7" s="6" t="s">
        <v>65</v>
      </c>
      <c r="B7" s="2" t="s">
        <v>66</v>
      </c>
      <c r="C7" s="9" t="s">
        <v>67</v>
      </c>
      <c r="D7" s="8" t="s">
        <v>68</v>
      </c>
      <c r="E7" s="2" t="s">
        <v>69</v>
      </c>
      <c r="F7" s="2" t="s">
        <v>70</v>
      </c>
      <c r="G7" s="2" t="s">
        <v>71</v>
      </c>
      <c r="H7" s="2"/>
      <c r="I7" s="2"/>
      <c r="J7" s="2"/>
      <c r="K7" s="2"/>
    </row>
    <row r="8" spans="1:11" ht="45.75" customHeight="1" x14ac:dyDescent="0.25">
      <c r="A8" s="6" t="s">
        <v>72</v>
      </c>
      <c r="B8" s="2" t="s">
        <v>66</v>
      </c>
      <c r="C8" s="9" t="s">
        <v>67</v>
      </c>
      <c r="D8" s="8" t="s">
        <v>73</v>
      </c>
      <c r="E8" s="2" t="s">
        <v>74</v>
      </c>
      <c r="F8" s="2" t="s">
        <v>75</v>
      </c>
      <c r="G8" s="2" t="s">
        <v>76</v>
      </c>
      <c r="H8" s="2"/>
      <c r="I8" s="2"/>
      <c r="J8" s="2"/>
      <c r="K8" s="2"/>
    </row>
    <row r="9" spans="1:11" ht="45.75" customHeight="1" x14ac:dyDescent="0.25">
      <c r="A9" s="6" t="s">
        <v>77</v>
      </c>
      <c r="B9" s="2" t="s">
        <v>66</v>
      </c>
      <c r="C9" s="7" t="s">
        <v>40</v>
      </c>
      <c r="D9" s="8" t="s">
        <v>78</v>
      </c>
      <c r="E9" s="2" t="s">
        <v>79</v>
      </c>
      <c r="F9" s="2" t="s">
        <v>80</v>
      </c>
      <c r="G9" s="2" t="s">
        <v>81</v>
      </c>
      <c r="H9" s="2"/>
      <c r="I9" s="2"/>
      <c r="J9" s="2"/>
      <c r="K9" s="2"/>
    </row>
    <row r="10" spans="1:11" ht="45.75" customHeight="1" x14ac:dyDescent="0.25">
      <c r="A10" s="6" t="s">
        <v>82</v>
      </c>
      <c r="B10" s="2" t="s">
        <v>56</v>
      </c>
      <c r="C10" s="7" t="s">
        <v>40</v>
      </c>
      <c r="D10" s="8" t="s">
        <v>83</v>
      </c>
      <c r="E10" s="2" t="s">
        <v>84</v>
      </c>
      <c r="F10" s="2" t="s">
        <v>85</v>
      </c>
      <c r="G10" s="2" t="s">
        <v>86</v>
      </c>
      <c r="H10" s="2"/>
      <c r="I10" s="2"/>
      <c r="J10" s="2"/>
      <c r="K10" s="2"/>
    </row>
    <row r="11" spans="1:11" ht="45.75" customHeight="1" x14ac:dyDescent="0.25">
      <c r="A11" s="6" t="s">
        <v>87</v>
      </c>
      <c r="B11" s="2" t="s">
        <v>88</v>
      </c>
      <c r="C11" s="7" t="s">
        <v>40</v>
      </c>
      <c r="D11" s="8" t="s">
        <v>89</v>
      </c>
      <c r="E11" s="2" t="s">
        <v>90</v>
      </c>
      <c r="F11" s="2" t="s">
        <v>91</v>
      </c>
      <c r="G11" s="2" t="s">
        <v>92</v>
      </c>
      <c r="H11" s="2"/>
      <c r="I11" s="2"/>
      <c r="J11" s="2"/>
      <c r="K11" s="2"/>
    </row>
    <row r="12" spans="1:11" ht="45.75" customHeight="1" x14ac:dyDescent="0.25">
      <c r="A12" s="6" t="s">
        <v>93</v>
      </c>
      <c r="B12" s="2" t="s">
        <v>88</v>
      </c>
      <c r="C12" s="7" t="s">
        <v>40</v>
      </c>
      <c r="D12" s="8" t="s">
        <v>94</v>
      </c>
      <c r="E12" s="2" t="s">
        <v>95</v>
      </c>
      <c r="F12" s="2" t="s">
        <v>96</v>
      </c>
      <c r="G12" s="2" t="s">
        <v>97</v>
      </c>
      <c r="H12" s="2"/>
      <c r="I12" s="2"/>
      <c r="J12" s="2"/>
      <c r="K12" s="2"/>
    </row>
    <row r="13" spans="1:11" ht="45.75" customHeight="1" x14ac:dyDescent="0.25">
      <c r="A13" s="6" t="s">
        <v>98</v>
      </c>
      <c r="B13" s="2" t="s">
        <v>88</v>
      </c>
      <c r="C13" s="9" t="s">
        <v>67</v>
      </c>
      <c r="D13" s="8" t="s">
        <v>99</v>
      </c>
      <c r="E13" s="2" t="s">
        <v>100</v>
      </c>
      <c r="F13" s="2" t="s">
        <v>101</v>
      </c>
      <c r="G13" s="2" t="s">
        <v>102</v>
      </c>
      <c r="H13" s="2"/>
      <c r="I13" s="2"/>
      <c r="J13" s="2"/>
      <c r="K13" s="2"/>
    </row>
    <row r="14" spans="1:11" ht="45.75" customHeight="1" x14ac:dyDescent="0.25">
      <c r="A14" s="6" t="s">
        <v>103</v>
      </c>
      <c r="B14" s="2" t="s">
        <v>104</v>
      </c>
      <c r="C14" s="7" t="s">
        <v>40</v>
      </c>
      <c r="D14" s="8" t="s">
        <v>105</v>
      </c>
      <c r="E14" s="2" t="s">
        <v>106</v>
      </c>
      <c r="F14" s="2" t="s">
        <v>107</v>
      </c>
      <c r="G14" s="2" t="s">
        <v>108</v>
      </c>
      <c r="H14" s="2"/>
      <c r="I14" s="2"/>
      <c r="J14" s="2"/>
      <c r="K14" s="2"/>
    </row>
    <row r="15" spans="1:11" ht="45.75" customHeight="1" x14ac:dyDescent="0.25">
      <c r="A15" s="6" t="s">
        <v>109</v>
      </c>
      <c r="B15" s="2" t="s">
        <v>104</v>
      </c>
      <c r="C15" s="7" t="s">
        <v>40</v>
      </c>
      <c r="D15" s="8" t="s">
        <v>110</v>
      </c>
      <c r="E15" s="2" t="s">
        <v>111</v>
      </c>
      <c r="F15" s="2" t="s">
        <v>112</v>
      </c>
      <c r="G15" s="2" t="s">
        <v>113</v>
      </c>
      <c r="H15" s="2"/>
      <c r="I15" s="2"/>
      <c r="J15" s="2"/>
      <c r="K15" s="2"/>
    </row>
    <row r="16" spans="1:11" ht="45.75" customHeight="1" x14ac:dyDescent="0.25">
      <c r="A16" s="6" t="s">
        <v>114</v>
      </c>
      <c r="B16" s="2" t="s">
        <v>104</v>
      </c>
      <c r="C16" s="9" t="s">
        <v>67</v>
      </c>
      <c r="D16" s="8" t="s">
        <v>115</v>
      </c>
      <c r="E16" s="2" t="s">
        <v>116</v>
      </c>
      <c r="F16" s="2" t="s">
        <v>117</v>
      </c>
      <c r="G16" s="2" t="s">
        <v>118</v>
      </c>
      <c r="H16" s="2"/>
      <c r="I16" s="2"/>
      <c r="J16" s="2"/>
      <c r="K16" s="2"/>
    </row>
    <row r="17" spans="1:11" ht="45.75" customHeight="1" x14ac:dyDescent="0.25">
      <c r="A17" s="6" t="s">
        <v>119</v>
      </c>
      <c r="B17" s="2" t="s">
        <v>104</v>
      </c>
      <c r="C17" s="10" t="s">
        <v>120</v>
      </c>
      <c r="D17" s="8" t="s">
        <v>121</v>
      </c>
      <c r="E17" s="2" t="s">
        <v>122</v>
      </c>
      <c r="F17" s="2" t="s">
        <v>123</v>
      </c>
      <c r="G17" s="2" t="s">
        <v>124</v>
      </c>
      <c r="H17" s="2"/>
      <c r="I17" s="2"/>
      <c r="J17" s="2"/>
      <c r="K17" s="2"/>
    </row>
    <row r="18" spans="1:11" ht="45.75" customHeight="1" x14ac:dyDescent="0.25">
      <c r="A18" s="6" t="s">
        <v>125</v>
      </c>
      <c r="B18" s="2" t="s">
        <v>104</v>
      </c>
      <c r="C18" s="9" t="s">
        <v>67</v>
      </c>
      <c r="D18" s="8" t="s">
        <v>126</v>
      </c>
      <c r="E18" s="2" t="s">
        <v>127</v>
      </c>
      <c r="F18" s="2" t="s">
        <v>128</v>
      </c>
      <c r="G18" s="2" t="s">
        <v>129</v>
      </c>
      <c r="H18" s="2"/>
      <c r="I18" s="2"/>
      <c r="J18" s="2"/>
      <c r="K18" s="2"/>
    </row>
    <row r="19" spans="1:11" ht="45.75" customHeight="1" x14ac:dyDescent="0.25">
      <c r="A19" s="6" t="s">
        <v>130</v>
      </c>
      <c r="B19" s="2" t="s">
        <v>131</v>
      </c>
      <c r="C19" s="9" t="s">
        <v>67</v>
      </c>
      <c r="D19" s="8" t="s">
        <v>132</v>
      </c>
      <c r="E19" s="2" t="s">
        <v>133</v>
      </c>
      <c r="F19" s="2" t="s">
        <v>134</v>
      </c>
      <c r="G19" s="2" t="s">
        <v>135</v>
      </c>
      <c r="H19" s="2"/>
      <c r="I19" s="2"/>
      <c r="J19" s="2"/>
      <c r="K19" s="2"/>
    </row>
    <row r="20" spans="1:11" ht="45.75" customHeight="1" x14ac:dyDescent="0.25">
      <c r="A20" s="6" t="s">
        <v>136</v>
      </c>
      <c r="B20" s="2" t="s">
        <v>131</v>
      </c>
      <c r="C20" s="7" t="s">
        <v>40</v>
      </c>
      <c r="D20" s="8" t="s">
        <v>137</v>
      </c>
      <c r="E20" s="2" t="s">
        <v>138</v>
      </c>
      <c r="F20" s="2" t="s">
        <v>139</v>
      </c>
      <c r="G20" s="2" t="s">
        <v>140</v>
      </c>
      <c r="H20" s="2"/>
      <c r="I20" s="2"/>
      <c r="J20" s="2"/>
      <c r="K20" s="2"/>
    </row>
    <row r="21" spans="1:11" ht="45.75" customHeight="1" x14ac:dyDescent="0.25">
      <c r="A21" s="6" t="s">
        <v>141</v>
      </c>
      <c r="B21" s="2" t="s">
        <v>131</v>
      </c>
      <c r="C21" s="10" t="s">
        <v>120</v>
      </c>
      <c r="D21" s="8" t="s">
        <v>142</v>
      </c>
      <c r="E21" s="2" t="s">
        <v>138</v>
      </c>
      <c r="F21" s="2" t="s">
        <v>143</v>
      </c>
      <c r="G21" s="2" t="s">
        <v>144</v>
      </c>
      <c r="H21" s="2"/>
      <c r="I21" s="2"/>
      <c r="J21" s="2"/>
      <c r="K21" s="2"/>
    </row>
    <row r="22" spans="1:11" ht="45.75" customHeight="1" x14ac:dyDescent="0.25">
      <c r="A22" s="6" t="s">
        <v>145</v>
      </c>
      <c r="B22" s="2" t="s">
        <v>146</v>
      </c>
      <c r="C22" s="9" t="s">
        <v>67</v>
      </c>
      <c r="D22" s="8" t="s">
        <v>147</v>
      </c>
      <c r="E22" s="2" t="s">
        <v>148</v>
      </c>
      <c r="F22" s="2" t="s">
        <v>149</v>
      </c>
      <c r="G22" s="2" t="s">
        <v>150</v>
      </c>
      <c r="H22" s="2"/>
      <c r="I22" s="2"/>
      <c r="J22" s="2"/>
      <c r="K22" s="2"/>
    </row>
    <row r="23" spans="1:11" ht="45.75" customHeight="1" x14ac:dyDescent="0.25">
      <c r="A23" s="6" t="s">
        <v>151</v>
      </c>
      <c r="B23" s="2" t="s">
        <v>152</v>
      </c>
      <c r="C23" s="7" t="s">
        <v>40</v>
      </c>
      <c r="D23" s="8" t="s">
        <v>153</v>
      </c>
      <c r="E23" s="2" t="s">
        <v>154</v>
      </c>
      <c r="F23" s="2" t="s">
        <v>155</v>
      </c>
      <c r="G23" s="2" t="s">
        <v>156</v>
      </c>
      <c r="H23" s="2"/>
      <c r="I23" s="2"/>
      <c r="J23" s="2"/>
      <c r="K23" s="2"/>
    </row>
    <row r="24" spans="1:11" ht="45.75" customHeight="1" x14ac:dyDescent="0.25">
      <c r="A24" s="6" t="s">
        <v>157</v>
      </c>
      <c r="B24" s="2" t="s">
        <v>152</v>
      </c>
      <c r="C24" s="7" t="s">
        <v>40</v>
      </c>
      <c r="D24" s="8" t="s">
        <v>158</v>
      </c>
      <c r="E24" s="2" t="s">
        <v>154</v>
      </c>
      <c r="F24" s="2" t="s">
        <v>159</v>
      </c>
      <c r="G24" s="2" t="s">
        <v>160</v>
      </c>
      <c r="H24" s="2"/>
      <c r="I24" s="2"/>
      <c r="J24" s="2"/>
      <c r="K24" s="2"/>
    </row>
    <row r="25" spans="1:11" ht="45.75" customHeight="1" x14ac:dyDescent="0.25">
      <c r="A25" s="6" t="s">
        <v>161</v>
      </c>
      <c r="B25" s="2" t="s">
        <v>152</v>
      </c>
      <c r="C25" s="7" t="s">
        <v>40</v>
      </c>
      <c r="D25" s="8" t="s">
        <v>162</v>
      </c>
      <c r="E25" s="2" t="s">
        <v>163</v>
      </c>
      <c r="F25" s="2" t="s">
        <v>164</v>
      </c>
      <c r="G25" s="2" t="s">
        <v>165</v>
      </c>
      <c r="H25" s="2"/>
      <c r="I25" s="2"/>
      <c r="J25" s="2"/>
      <c r="K25" s="2"/>
    </row>
    <row r="26" spans="1:11" ht="45.75" customHeight="1" x14ac:dyDescent="0.25">
      <c r="A26" s="6" t="s">
        <v>166</v>
      </c>
      <c r="B26" s="2" t="s">
        <v>152</v>
      </c>
      <c r="C26" s="7" t="s">
        <v>40</v>
      </c>
      <c r="D26" s="8" t="s">
        <v>167</v>
      </c>
      <c r="E26" s="2" t="s">
        <v>168</v>
      </c>
      <c r="F26" s="2" t="s">
        <v>169</v>
      </c>
      <c r="G26" s="2" t="s">
        <v>170</v>
      </c>
      <c r="H26" s="2"/>
      <c r="I26" s="2"/>
      <c r="J26" s="2"/>
      <c r="K26" s="2"/>
    </row>
    <row r="27" spans="1:11" ht="45.75" customHeight="1" x14ac:dyDescent="0.25">
      <c r="A27" s="6" t="s">
        <v>171</v>
      </c>
      <c r="B27" s="2" t="s">
        <v>172</v>
      </c>
      <c r="C27" s="9" t="s">
        <v>67</v>
      </c>
      <c r="D27" s="8" t="s">
        <v>173</v>
      </c>
      <c r="E27" s="2" t="s">
        <v>174</v>
      </c>
      <c r="F27" s="2" t="s">
        <v>175</v>
      </c>
      <c r="G27" s="2" t="s">
        <v>176</v>
      </c>
      <c r="H27" s="2"/>
      <c r="I27" s="2"/>
      <c r="J27" s="2"/>
      <c r="K27" s="2"/>
    </row>
    <row r="28" spans="1:11" ht="45.75" customHeight="1" x14ac:dyDescent="0.25">
      <c r="A28" s="6" t="s">
        <v>177</v>
      </c>
      <c r="B28" s="2" t="s">
        <v>172</v>
      </c>
      <c r="C28" s="10" t="s">
        <v>120</v>
      </c>
      <c r="D28" s="8" t="s">
        <v>178</v>
      </c>
      <c r="E28" s="2" t="s">
        <v>179</v>
      </c>
      <c r="F28" s="2" t="s">
        <v>180</v>
      </c>
      <c r="G28" s="2" t="s">
        <v>181</v>
      </c>
      <c r="H28" s="2"/>
      <c r="I28" s="2"/>
      <c r="J28" s="2"/>
      <c r="K28" s="2"/>
    </row>
    <row r="29" spans="1:11" ht="45.75" customHeight="1" x14ac:dyDescent="0.25">
      <c r="A29" s="6" t="s">
        <v>182</v>
      </c>
      <c r="B29" s="2" t="s">
        <v>172</v>
      </c>
      <c r="C29" s="9" t="s">
        <v>67</v>
      </c>
      <c r="D29" s="8" t="s">
        <v>183</v>
      </c>
      <c r="E29" s="2" t="s">
        <v>184</v>
      </c>
      <c r="F29" s="2" t="s">
        <v>185</v>
      </c>
      <c r="G29" s="2" t="s">
        <v>186</v>
      </c>
      <c r="H29" s="2"/>
      <c r="I29" s="2"/>
      <c r="J29" s="2"/>
      <c r="K29" s="2"/>
    </row>
    <row r="30" spans="1:11" ht="45.75" customHeight="1" x14ac:dyDescent="0.25">
      <c r="A30" s="6" t="s">
        <v>187</v>
      </c>
      <c r="B30" s="2" t="s">
        <v>172</v>
      </c>
      <c r="C30" s="10" t="s">
        <v>120</v>
      </c>
      <c r="D30" s="8" t="s">
        <v>188</v>
      </c>
      <c r="E30" s="2" t="s">
        <v>189</v>
      </c>
      <c r="F30" s="2" t="s">
        <v>190</v>
      </c>
      <c r="G30" s="2" t="s">
        <v>191</v>
      </c>
      <c r="H30" s="2"/>
      <c r="I30" s="2"/>
      <c r="J30" s="2"/>
      <c r="K30" s="2"/>
    </row>
    <row r="31" spans="1:11" ht="45.75" customHeight="1" x14ac:dyDescent="0.25">
      <c r="A31" s="6" t="s">
        <v>192</v>
      </c>
      <c r="B31" s="2" t="s">
        <v>16</v>
      </c>
      <c r="C31" s="9" t="s">
        <v>67</v>
      </c>
      <c r="D31" s="8" t="s">
        <v>193</v>
      </c>
      <c r="E31" s="2" t="s">
        <v>194</v>
      </c>
      <c r="F31" s="2" t="s">
        <v>195</v>
      </c>
      <c r="G31" s="2" t="s">
        <v>196</v>
      </c>
      <c r="H31" s="2"/>
      <c r="I31" s="2"/>
      <c r="J31" s="2"/>
      <c r="K31" s="2"/>
    </row>
    <row r="32" spans="1:11" ht="45.75" customHeight="1" x14ac:dyDescent="0.25">
      <c r="A32" s="6" t="s">
        <v>197</v>
      </c>
      <c r="B32" s="2" t="s">
        <v>16</v>
      </c>
      <c r="C32" s="9" t="s">
        <v>67</v>
      </c>
      <c r="D32" s="8" t="s">
        <v>198</v>
      </c>
      <c r="E32" s="2" t="s">
        <v>199</v>
      </c>
      <c r="F32" s="2" t="s">
        <v>200</v>
      </c>
      <c r="G32" s="2" t="s">
        <v>201</v>
      </c>
      <c r="H32" s="2"/>
      <c r="I32" s="2"/>
      <c r="J32" s="2"/>
      <c r="K32" s="2"/>
    </row>
    <row r="33" spans="1:11" ht="45.75" customHeight="1" x14ac:dyDescent="0.25">
      <c r="A33" s="6" t="s">
        <v>202</v>
      </c>
      <c r="B33" s="2" t="s">
        <v>203</v>
      </c>
      <c r="C33" s="10" t="s">
        <v>120</v>
      </c>
      <c r="D33" s="8" t="s">
        <v>204</v>
      </c>
      <c r="E33" s="2" t="s">
        <v>205</v>
      </c>
      <c r="F33" s="2" t="s">
        <v>206</v>
      </c>
      <c r="G33" s="2" t="s">
        <v>207</v>
      </c>
      <c r="H33" s="2"/>
      <c r="I33" s="2"/>
      <c r="J33" s="2"/>
      <c r="K33" s="2"/>
    </row>
  </sheetData>
  <autoFilter ref="A1:K33" xr:uid="{00000000-0009-0000-0000-000001000000}"/>
  <dataValidations count="1">
    <dataValidation type="list" allowBlank="1" sqref="H2:H33" xr:uid="{00000000-0002-0000-0100-000000000000}">
      <formula1>"Pass,Fail,Blocked,N/A"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42" customWidth="1"/>
  </cols>
  <sheetData>
    <row r="1" spans="1:2" ht="18" x14ac:dyDescent="0.25">
      <c r="A1" s="1" t="s">
        <v>208</v>
      </c>
    </row>
    <row r="3" spans="1:2" ht="18" customHeight="1" x14ac:dyDescent="0.25">
      <c r="A3" s="11" t="s">
        <v>209</v>
      </c>
      <c r="B3" s="11" t="s">
        <v>210</v>
      </c>
    </row>
    <row r="4" spans="1:2" ht="18" customHeight="1" x14ac:dyDescent="0.25">
      <c r="A4" s="4" t="s">
        <v>211</v>
      </c>
      <c r="B4" s="12">
        <f>COUNTA('Test Cases'!$A$2:$A$33)</f>
        <v>32</v>
      </c>
    </row>
    <row r="5" spans="1:2" ht="18" customHeight="1" x14ac:dyDescent="0.25">
      <c r="A5" s="4" t="s">
        <v>212</v>
      </c>
      <c r="B5" s="13">
        <f>COUNTIF('Test Cases'!$H$2:$H$33,"Pass")</f>
        <v>0</v>
      </c>
    </row>
    <row r="6" spans="1:2" ht="18" customHeight="1" x14ac:dyDescent="0.25">
      <c r="A6" s="4" t="s">
        <v>213</v>
      </c>
      <c r="B6" s="14">
        <f>COUNTIF('Test Cases'!$H$2:$H$33,"Fail")</f>
        <v>0</v>
      </c>
    </row>
    <row r="7" spans="1:2" ht="18" customHeight="1" x14ac:dyDescent="0.25">
      <c r="A7" s="4" t="s">
        <v>214</v>
      </c>
      <c r="B7" s="15">
        <f>COUNTIF('Test Cases'!$H$2:$H$33,"Blocked")</f>
        <v>0</v>
      </c>
    </row>
    <row r="8" spans="1:2" ht="18" customHeight="1" x14ac:dyDescent="0.25">
      <c r="A8" s="4" t="s">
        <v>215</v>
      </c>
      <c r="B8" s="12">
        <f>COUNTIF('Test Cases'!$H$2:$H$33,"N/A")</f>
        <v>0</v>
      </c>
    </row>
    <row r="9" spans="1:2" ht="18" customHeight="1" x14ac:dyDescent="0.25">
      <c r="A9" s="4" t="s">
        <v>216</v>
      </c>
      <c r="B9" s="12">
        <f>B4-B5-B6-B7-B8</f>
        <v>32</v>
      </c>
    </row>
    <row r="10" spans="1:2" ht="18" customHeight="1" x14ac:dyDescent="0.25"/>
    <row r="11" spans="1:2" ht="18" customHeight="1" x14ac:dyDescent="0.25">
      <c r="A11" s="4" t="s">
        <v>217</v>
      </c>
      <c r="B11" s="16">
        <f>COUNTIF('Test Cases'!$C$2:$C$33,"P0")</f>
        <v>16</v>
      </c>
    </row>
    <row r="12" spans="1:2" ht="18" customHeight="1" x14ac:dyDescent="0.25">
      <c r="A12" s="4" t="s">
        <v>218</v>
      </c>
      <c r="B12" s="17">
        <f>COUNTIFS('Test Cases'!$C$2:$C$33,"P0",'Test Cases'!$H$2:$H$33,"Fail")+COUNTIFS('Test Cases'!$C$2:$C$33,"P0",'Test Cases'!$H$2:$H$33,"Blocked")</f>
        <v>0</v>
      </c>
    </row>
    <row r="13" spans="1:2" ht="18" customHeight="1" x14ac:dyDescent="0.25">
      <c r="A13" s="4" t="s">
        <v>219</v>
      </c>
      <c r="B13" s="18">
        <f>COUNTIFS('Test Cases'!$C$2:$C$33,"P0",'Test Cases'!$H$2:$H$33,"")</f>
        <v>16</v>
      </c>
    </row>
    <row r="14" spans="1:2" ht="18" customHeight="1" x14ac:dyDescent="0.25"/>
    <row r="15" spans="1:2" ht="18" customHeight="1" x14ac:dyDescent="0.25">
      <c r="A15" s="19" t="s">
        <v>220</v>
      </c>
      <c r="B15" s="20" t="str">
        <f>IF(AND(B12=0,B13=0,B6=0),"GO ✅  (all blockers pass)","NO-GO ❌  (resolve P0 fails / blanks)")</f>
        <v>NO-GO ❌  (resolve P0 fails / blanks)</v>
      </c>
    </row>
    <row r="16" spans="1:2" ht="18" customHeight="1" x14ac:dyDescent="0.25"/>
    <row r="17" spans="1:2" ht="18" customHeight="1" x14ac:dyDescent="0.25">
      <c r="A17" s="4" t="s">
        <v>221</v>
      </c>
      <c r="B17" s="2"/>
    </row>
    <row r="18" spans="1:2" ht="18" customHeight="1" x14ac:dyDescent="0.25">
      <c r="A18" s="4" t="s">
        <v>222</v>
      </c>
      <c r="B18" s="2"/>
    </row>
    <row r="19" spans="1:2" ht="18" customHeight="1" x14ac:dyDescent="0.25">
      <c r="A19" s="4" t="s">
        <v>223</v>
      </c>
      <c r="B19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 &amp; How To</vt:lpstr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Kiran Gunnam</cp:lastModifiedBy>
  <cp:revision>0</cp:revision>
  <dcterms:created xsi:type="dcterms:W3CDTF">2026-07-02T19:14:10Z</dcterms:created>
  <dcterms:modified xsi:type="dcterms:W3CDTF">2026-07-02T19:18:37Z</dcterms:modified>
  <dc:language>en-US</dc:language>
</cp:coreProperties>
</file>