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33be3784c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b64b7d8223e4cc7"/>
    <x:sheet xmlns:r="http://schemas.openxmlformats.org/officeDocument/2006/relationships" name="Test Cases" sheetId="2" r:id="Rb43e0177cbc94e3d"/>
    <x:sheet xmlns:r="http://schemas.openxmlformats.org/officeDocument/2006/relationships" name="Release Dashboard" sheetId="3" r:id="Rb2625a934bc346e8"/>
    <x:sheet xmlns:r="http://schemas.openxmlformats.org/officeDocument/2006/relationships" name="Device Matrix" sheetId="4" r:id="R43b7e7a773b64ad2"/>
    <x:sheet xmlns:r="http://schemas.openxmlformats.org/officeDocument/2006/relationships" name="Image Audit" sheetId="5" r:id="R901becd4ad524670"/>
    <x:sheet xmlns:r="http://schemas.openxmlformats.org/officeDocument/2006/relationships" name="Defect Log" sheetId="6" r:id="R252cd59d381f4528"/>
    <x:sheet xmlns:r="http://schemas.openxmlformats.org/officeDocument/2006/relationships" name="Release Checklist" sheetId="7" r:id="R7923002d5d5d4c91"/>
    <x:sheet xmlns:r="http://schemas.openxmlformats.org/officeDocument/2006/relationships" name="Coverage Guide" sheetId="8" r:id="R5f7731fa53fa47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6">
    <x:font>
      <x:sz val="11"/>
      <x:name val="Carlito"/>
    </x:font>
    <x:font>
      <x:b/>
      <x:sz val="20"/>
      <x:color rgb="FFF1C453"/>
      <x:name val="Carlito"/>
    </x:font>
    <x:font>
      <x:i/>
      <x:sz val="10"/>
      <x:color rgb="FFFFFFFF"/>
      <x:name val="Carlito"/>
    </x:font>
    <x:font>
      <x:b/>
      <x:sz val="11"/>
      <x:color rgb="FFF1C453"/>
      <x:name val="Carlito"/>
    </x:font>
    <x:font>
      <x:sz val="11"/>
      <x:color rgb="FF17110A"/>
      <x:name val="Carlito"/>
    </x:font>
    <x:font>
      <x:b/>
      <x:sz val="12"/>
      <x:color rgb="FF0B0804"/>
      <x:name val="Carlito"/>
    </x:font>
    <x:font>
      <x:sz val="10"/>
      <x:color rgb="FF17110A"/>
      <x:name val="Carlito"/>
    </x:font>
    <x:font>
      <x:b/>
      <x:sz val="10"/>
      <x:color rgb="FFFFFFFF"/>
      <x:name val="Carlito"/>
    </x:font>
    <x:font>
      <x:b/>
      <x:sz val="10"/>
      <x:color rgb="FFF1C453"/>
      <x:name val="Carlito"/>
    </x:font>
    <x:font>
      <x:b/>
      <x:sz val="11"/>
      <x:color rgb="FF17110A"/>
      <x:name val="Carlito"/>
    </x:font>
    <x:font>
      <x:b/>
      <x:sz val="11"/>
      <x:color rgb="FF2E7D32"/>
      <x:name val="Carlito"/>
    </x:font>
    <x:font>
      <x:b/>
      <x:sz val="11"/>
      <x:color rgb="FFB3261E"/>
      <x:name val="Carlito"/>
    </x:font>
    <x:font>
      <x:b/>
      <x:sz val="11"/>
      <x:color rgb="FFB7791F"/>
      <x:name val="Carlito"/>
    </x:font>
    <x:font>
      <x:b/>
      <x:sz val="11"/>
      <x:color rgb="FF8D7656"/>
      <x:name val="Carlito"/>
    </x:font>
    <x:font>
      <x:sz val="9"/>
      <x:color rgb="FF17110A"/>
      <x:name val="Carlito"/>
    </x:font>
    <x:font>
      <x:sz val="11"/>
      <x:color rgb="FF2F6B9A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B0804"/>
      </x:patternFill>
    </x:fill>
    <x:fill>
      <x:patternFill patternType="solid">
        <x:fgColor rgb="FF241707"/>
      </x:patternFill>
    </x:fill>
    <x:fill>
      <x:patternFill patternType="solid">
        <x:fgColor rgb="FF17110A"/>
      </x:patternFill>
    </x:fill>
    <x:fill>
      <x:patternFill patternType="solid">
        <x:fgColor rgb="FFFFF8EA"/>
      </x:patternFill>
    </x:fill>
    <x:fill>
      <x:patternFill patternType="solid">
        <x:fgColor rgb="FFD58A16"/>
      </x:patternFill>
    </x:fill>
    <x:fill>
      <x:patternFill patternType="solid">
        <x:fgColor rgb="FFF1C453"/>
      </x:patternFill>
    </x:fill>
    <x:fill>
      <x:patternFill patternType="solid">
        <x:fgColor rgb="FFE4F3E6"/>
      </x:patternFill>
    </x:fill>
    <x:fill>
      <x:patternFill patternType="solid">
        <x:fgColor rgb="FFFBE5E3"/>
      </x:patternFill>
    </x:fill>
    <x:fill>
      <x:patternFill patternType="solid">
        <x:fgColor rgb="FFFFF2CC"/>
      </x:patternFill>
    </x:fill>
    <x:fill>
      <x:patternFill patternType="solid">
        <x:fgColor rgb="FFE8E4DD"/>
      </x:patternFill>
    </x:fill>
  </x:fills>
  <x:borders count="3">
    <x:border/>
    <x:border>
      <x:left style="thin">
        <x:color rgb="FFD58A16"/>
      </x:left>
      <x:right style="thin">
        <x:color rgb="FFD58A16"/>
      </x:right>
      <x:top style="thin">
        <x:color rgb="FFD58A16"/>
      </x:top>
      <x:bottom style="thin">
        <x:color rgb="FFD58A16"/>
      </x:bottom>
    </x:border>
    <x:border>
      <x:left style="thin">
        <x:color rgb="FFD8C39E"/>
      </x:left>
      <x:right style="thin">
        <x:color rgb="FFD8C39E"/>
      </x:right>
      <x:top style="thin">
        <x:color rgb="FFD8C39E"/>
      </x:top>
      <x:bottom style="thin">
        <x:color rgb="FFD8C39E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7" fillId="3" borderId="2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10" fillId="8" borderId="2" xfId="0" applyNumberFormat="1" applyFont="1" applyFill="1" applyBorder="1" applyAlignment="1">
      <x:alignment wrapText="1"/>
    </x:xf>
    <x:xf numFmtId="0" fontId="0" fillId="9" borderId="2" xfId="0" applyNumberFormat="1" applyFont="1" applyFill="1" applyBorder="1" applyAlignment="1">
      <x:alignment wrapText="1"/>
    </x:xf>
    <x:xf numFmtId="0" fontId="11" fillId="9" borderId="2" xfId="0" applyNumberFormat="1" applyFont="1" applyFill="1" applyBorder="1" applyAlignment="1">
      <x:alignment wrapText="1"/>
    </x:xf>
    <x:xf numFmtId="0" fontId="0" fillId="10" borderId="2" xfId="0" applyNumberFormat="1" applyFont="1" applyFill="1" applyBorder="1" applyAlignment="1">
      <x:alignment wrapText="1"/>
    </x:xf>
    <x:xf numFmtId="0" fontId="12" fillId="10" borderId="2" xfId="0" applyNumberFormat="1" applyFont="1" applyFill="1" applyBorder="1" applyAlignment="1">
      <x:alignment wrapText="1"/>
    </x:xf>
    <x:xf numFmtId="0" fontId="0" fillId="11" borderId="2" xfId="0" applyNumberFormat="1" applyFont="1" applyFill="1" applyBorder="1" applyAlignment="1">
      <x:alignment wrapText="1"/>
    </x:xf>
    <x:xf numFmtId="0" fontId="13" fillId="11" borderId="2" xfId="0" applyNumberFormat="1" applyFont="1" applyFill="1" applyBorder="1" applyAlignment="1">
      <x:alignment wrapText="1"/>
    </x:xf>
    <x:xf numFmtId="0" fontId="14" fillId="5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14" fillId="5" borderId="0" xfId="0" applyNumberFormat="1" applyFont="1" applyFill="1" applyBorder="1"/>
    <x:xf numFmtId="0" fontId="14" fillId="5" borderId="2" xfId="0" applyNumberFormat="1" applyFont="1" applyFill="1" applyBorder="1"/>
    <x:xf numFmtId="0" fontId="14" fillId="5" borderId="2" xfId="0" applyNumberFormat="1" applyFont="1" applyFill="1" applyBorder="1" applyAlignment="1">
      <x:alignment vertical="top" wrapText="1"/>
    </x:xf>
    <x:xf numFmtId="200" fontId="14" fillId="5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/>
    <x:xf numFmtId="0" fontId="3" fillId="4" borderId="2" xfId="0" applyNumberFormat="1" applyFont="1" applyFill="1" applyBorder="1"/>
    <x:xf numFmtId="201" fontId="4" fillId="5" borderId="2" xfId="0" applyNumberFormat="1" applyFont="1" applyFill="1" applyBorder="1"/>
    <x:xf numFmtId="0" fontId="6" fillId="4" borderId="2" xfId="0" applyNumberFormat="1" applyFont="1" applyFill="1" applyBorder="1" applyAlignment="1">
      <x:alignment wrapText="1"/>
    </x:xf>
    <x:xf numFmtId="0" fontId="8" fillId="4" borderId="2" xfId="0" applyNumberFormat="1" applyFont="1" applyFill="1" applyBorder="1" applyAlignment="1">
      <x:alignment wrapText="1"/>
    </x:xf>
    <x:xf numFmtId="0" fontId="15" fillId="5" borderId="0" xfId="0" applyNumberFormat="1" applyFont="1" applyFill="1" applyBorder="1"/>
    <x:xf numFmtId="0" fontId="15" fillId="5" borderId="2" xfId="0" applyNumberFormat="1" applyFont="1" applyFill="1" applyBorder="1"/>
  </x:cellXfs>
  <x:cellStyles count="1">
    <x:cellStyle name="Normal" xfId="0"/>
  </x:cellStyles>
  <x:dxfs count="40">
    <x:dxf>
      <x:font>
        <x:b/>
        <x:color rgb="FF2E7D32"/>
      </x:font>
      <x:fill>
        <x:patternFill patternType="solid">
          <x:bgColor rgb="FFE4F3E6"/>
        </x:patternFill>
      </x:fill>
    </x:dxf>
    <x:dxf>
      <x:font>
        <x:b/>
        <x:color rgb="FFB3261E"/>
      </x:font>
      <x:fill>
        <x:patternFill patternType="solid">
          <x:bgColor rgb="FFFBE5E3"/>
        </x:patternFill>
      </x:fill>
    </x:dxf>
    <x:dxf>
      <x:font>
        <x:b/>
        <x:color rgb="FFB7791F"/>
      </x:font>
      <x:fill>
        <x:patternFill patternType="solid">
          <x:bgColor rgb="FFFFF2CC"/>
        </x:patternFill>
      </x:fill>
    </x:dxf>
    <x:dxf>
      <x:font>
        <x:i/>
        <x:color rgb="FF8D7656"/>
      </x:font>
      <x:fill>
        <x:patternFill patternType="solid">
          <x:bgColor rgb="FFE8E4DD"/>
        </x:patternFill>
      </x:fill>
    </x:dxf>
    <x:dxf>
      <x:font>
        <x:b/>
        <x:color rgb="FF2E7D32"/>
      </x:font>
      <x:fill>
        <x:patternFill patternType="solid">
          <x:bgColor rgb="FFE4F3E6"/>
        </x:patternFill>
      </x:fill>
    </x:dxf>
    <x:dxf>
      <x:font>
        <x:b/>
        <x:color rgb="FFB3261E"/>
      </x:font>
      <x:fill>
        <x:patternFill patternType="solid">
          <x:bgColor rgb="FFFBE5E3"/>
        </x:patternFill>
      </x:fill>
    </x:dxf>
    <x:dxf>
      <x:font>
        <x:b/>
        <x:color rgb="FFB7791F"/>
      </x:font>
      <x:fill>
        <x:patternFill patternType="solid">
          <x:bgColor rgb="FFFFF2CC"/>
        </x:patternFill>
      </x:fill>
    </x:dxf>
    <x:dxf>
      <x:font>
        <x:i/>
        <x:color rgb="FF8D7656"/>
      </x:font>
      <x:fill>
        <x:patternFill patternType="solid">
          <x:bgColor rgb="FFE8E4DD"/>
        </x:patternFill>
      </x:fill>
    </x:dxf>
    <x:dxf>
      <x:font>
        <x:b/>
        <x:color rgb="FF2E7D32"/>
      </x:font>
      <x:fill>
        <x:patternFill patternType="solid">
          <x:bgColor rgb="FFE4F3E6"/>
        </x:patternFill>
      </x:fill>
    </x:dxf>
    <x:dxf>
      <x:font>
        <x:b/>
        <x:color rgb="FFB3261E"/>
      </x:font>
      <x:fill>
        <x:patternFill patternType="solid">
          <x:bgColor rgb="FFFBE5E3"/>
        </x:patternFill>
      </x:fill>
    </x:dxf>
    <x:dxf>
      <x:font>
        <x:b/>
        <x:color rgb="FFB7791F"/>
      </x:font>
      <x:fill>
        <x:patternFill patternType="solid">
          <x:bgColor rgb="FFFFF2CC"/>
        </x:patternFill>
      </x:fill>
    </x:dxf>
    <x:dxf>
      <x:font>
        <x:i/>
        <x:color rgb="FF8D7656"/>
      </x:font>
      <x:fill>
        <x:patternFill patternType="solid">
          <x:bgColor rgb="FFE8E4DD"/>
        </x:patternFill>
      </x:fill>
    </x:dxf>
    <x:dxf>
      <x:font>
        <x:b/>
        <x:color rgb="FF2E7D32"/>
      </x:font>
      <x:fill>
        <x:patternFill patternType="solid">
          <x:bgColor rgb="FFE4F3E6"/>
        </x:patternFill>
      </x:fill>
    </x:dxf>
    <x:dxf>
      <x:font>
        <x:b/>
        <x:color rgb="FFB3261E"/>
      </x:font>
      <x:fill>
        <x:patternFill patternType="solid">
          <x:bgColor rgb="FFFBE5E3"/>
        </x:patternFill>
      </x:fill>
    </x:dxf>
    <x:dxf>
      <x:font>
        <x:b/>
        <x:color rgb="FFB7791F"/>
      </x:font>
      <x:fill>
        <x:patternFill patternType="solid">
          <x:bgColor rgb="FFFFF2CC"/>
        </x:patternFill>
      </x:fill>
    </x:dxf>
    <x:dxf>
      <x:font>
        <x:i/>
        <x:color rgb="FF8D7656"/>
      </x:font>
      <x:fill>
        <x:patternFill patternType="solid">
          <x:bgColor rgb="FFE8E4DD"/>
        </x:patternFill>
      </x:fill>
    </x:dxf>
    <x:dxf>
      <x:font>
        <x:b/>
        <x:color rgb="FF2E7D32"/>
      </x:font>
      <x:fill>
        <x:patternFill patternType="solid">
          <x:bgColor rgb="FFE4F3E6"/>
        </x:patternFill>
      </x:fill>
    </x:dxf>
    <x:dxf>
      <x:font>
        <x:b/>
        <x:color rgb="FFB3261E"/>
      </x:font>
      <x:fill>
        <x:patternFill patternType="solid">
          <x:bgColor rgb="FFFBE5E3"/>
        </x:patternFill>
      </x:fill>
    </x:dxf>
    <x:dxf>
      <x:font>
        <x:b/>
        <x:color rgb="FFB7791F"/>
      </x:font>
      <x:fill>
        <x:patternFill patternType="solid">
          <x:bgColor rgb="FFFFF2CC"/>
        </x:patternFill>
      </x:fill>
    </x:dxf>
    <x:dxf>
      <x:font>
        <x:i/>
        <x:color rgb="FF8D7656"/>
      </x:font>
      <x:fill>
        <x:patternFill patternType="solid">
          <x:bgColor rgb="FFE8E4DD"/>
        </x:patternFill>
      </x:fill>
    </x:dxf>
    <x:dxf>
      <x:font>
        <x:b/>
        <x:color rgb="FF2E7D32"/>
      </x:font>
      <x:fill>
        <x:patternFill patternType="solid">
          <x:bgColor rgb="FFE4F3E6"/>
        </x:patternFill>
      </x:fill>
    </x:dxf>
    <x:dxf>
      <x:font>
        <x:b/>
        <x:color rgb="FFB3261E"/>
      </x:font>
      <x:fill>
        <x:patternFill patternType="solid">
          <x:bgColor rgb="FFFBE5E3"/>
        </x:patternFill>
      </x:fill>
    </x:dxf>
    <x:dxf>
      <x:font>
        <x:b/>
        <x:color rgb="FFB7791F"/>
      </x:font>
      <x:fill>
        <x:patternFill patternType="solid">
          <x:bgColor rgb="FFFFF2CC"/>
        </x:patternFill>
      </x:fill>
    </x:dxf>
    <x:dxf>
      <x:font>
        <x:i/>
        <x:color rgb="FF8D7656"/>
      </x:font>
      <x:fill>
        <x:patternFill patternType="solid">
          <x:bgColor rgb="FFE8E4DD"/>
        </x:patternFill>
      </x:fill>
    </x:dxf>
    <x:dxf>
      <x:font>
        <x:b/>
        <x:color rgb="FF2E7D32"/>
      </x:font>
      <x:fill>
        <x:patternFill patternType="solid">
          <x:bgColor rgb="FFE4F3E6"/>
        </x:patternFill>
      </x:fill>
    </x:dxf>
    <x:dxf>
      <x:font>
        <x:b/>
        <x:color rgb="FFB3261E"/>
      </x:font>
      <x:fill>
        <x:patternFill patternType="solid">
          <x:bgColor rgb="FFFBE5E3"/>
        </x:patternFill>
      </x:fill>
    </x:dxf>
    <x:dxf>
      <x:font>
        <x:b/>
        <x:color rgb="FFB7791F"/>
      </x:font>
      <x:fill>
        <x:patternFill patternType="solid">
          <x:bgColor rgb="FFFFF2CC"/>
        </x:patternFill>
      </x:fill>
    </x:dxf>
    <x:dxf>
      <x:font>
        <x:i/>
        <x:color rgb="FF8D7656"/>
      </x:font>
      <x:fill>
        <x:patternFill patternType="solid">
          <x:bgColor rgb="FFE8E4DD"/>
        </x:patternFill>
      </x:fill>
    </x:dxf>
    <x:dxf>
      <x:font>
        <x:b/>
        <x:color rgb="FF2E7D32"/>
      </x:font>
      <x:fill>
        <x:patternFill patternType="solid">
          <x:bgColor rgb="FFE4F3E6"/>
        </x:patternFill>
      </x:fill>
    </x:dxf>
    <x:dxf>
      <x:font>
        <x:b/>
        <x:color rgb="FFB3261E"/>
      </x:font>
      <x:fill>
        <x:patternFill patternType="solid">
          <x:bgColor rgb="FFFBE5E3"/>
        </x:patternFill>
      </x:fill>
    </x:dxf>
    <x:dxf>
      <x:font>
        <x:b/>
        <x:color rgb="FFB7791F"/>
      </x:font>
      <x:fill>
        <x:patternFill patternType="solid">
          <x:bgColor rgb="FFFFF2CC"/>
        </x:patternFill>
      </x:fill>
    </x:dxf>
    <x:dxf>
      <x:font>
        <x:i/>
        <x:color rgb="FF8D7656"/>
      </x:font>
      <x:fill>
        <x:patternFill patternType="solid">
          <x:bgColor rgb="FFE8E4DD"/>
        </x:patternFill>
      </x:fill>
    </x:dxf>
    <x:dxf>
      <x:font>
        <x:b/>
        <x:color rgb="FF2E7D32"/>
      </x:font>
      <x:fill>
        <x:patternFill patternType="solid">
          <x:bgColor rgb="FFE4F3E6"/>
        </x:patternFill>
      </x:fill>
    </x:dxf>
    <x:dxf>
      <x:font>
        <x:b/>
        <x:color rgb="FFB3261E"/>
      </x:font>
      <x:fill>
        <x:patternFill patternType="solid">
          <x:bgColor rgb="FFFBE5E3"/>
        </x:patternFill>
      </x:fill>
    </x:dxf>
    <x:dxf>
      <x:font>
        <x:b/>
        <x:color rgb="FFB7791F"/>
      </x:font>
      <x:fill>
        <x:patternFill patternType="solid">
          <x:bgColor rgb="FFFFF2CC"/>
        </x:patternFill>
      </x:fill>
    </x:dxf>
    <x:dxf>
      <x:font>
        <x:i/>
        <x:color rgb="FF8D7656"/>
      </x:font>
      <x:fill>
        <x:patternFill patternType="solid">
          <x:bgColor rgb="FFE8E4DD"/>
        </x:patternFill>
      </x:fill>
    </x:dxf>
    <x:dxf>
      <x:font>
        <x:b/>
        <x:color rgb="FF2E7D32"/>
      </x:font>
      <x:fill>
        <x:patternFill patternType="solid">
          <x:bgColor rgb="FFE4F3E6"/>
        </x:patternFill>
      </x:fill>
    </x:dxf>
    <x:dxf>
      <x:font>
        <x:b/>
        <x:color rgb="FFB3261E"/>
      </x:font>
      <x:fill>
        <x:patternFill patternType="solid">
          <x:bgColor rgb="FFFBE5E3"/>
        </x:patternFill>
      </x:fill>
    </x:dxf>
    <x:dxf>
      <x:font>
        <x:b/>
        <x:color rgb="FFB7791F"/>
      </x:font>
      <x:fill>
        <x:patternFill patternType="solid">
          <x:bgColor rgb="FFFFF2CC"/>
        </x:patternFill>
      </x:fill>
    </x:dxf>
    <x:dxf>
      <x:font>
        <x:i/>
        <x:color rgb="FF8D7656"/>
      </x:font>
      <x:fill>
        <x:patternFill patternType="solid">
          <x:bgColor rgb="FFE8E4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9339fc0ef499f" /><Relationship Type="http://schemas.openxmlformats.org/officeDocument/2006/relationships/theme" Target="/xl/theme/theme1.xml" Id="R56da18f8e60c4bf0" /><Relationship Type="http://schemas.openxmlformats.org/officeDocument/2006/relationships/sharedStrings" Target="/xl/sharedStrings.xml" Id="R5dc37b10ab404697" /><Relationship Type="http://schemas.openxmlformats.org/officeDocument/2006/relationships/worksheet" Target="/xl/worksheets/sheet1.xml" Id="R1b64b7d8223e4cc7" /><Relationship Type="http://schemas.openxmlformats.org/officeDocument/2006/relationships/worksheet" Target="/xl/worksheets/sheet2.xml" Id="Rb43e0177cbc94e3d" /><Relationship Type="http://schemas.openxmlformats.org/officeDocument/2006/relationships/worksheet" Target="/xl/worksheets/sheet3.xml" Id="Rb2625a934bc346e8" /><Relationship Type="http://schemas.openxmlformats.org/officeDocument/2006/relationships/worksheet" Target="/xl/worksheets/sheet4.xml" Id="R43b7e7a773b64ad2" /><Relationship Type="http://schemas.openxmlformats.org/officeDocument/2006/relationships/worksheet" Target="/xl/worksheets/sheet5.xml" Id="R901becd4ad524670" /><Relationship Type="http://schemas.openxmlformats.org/officeDocument/2006/relationships/worksheet" Target="/xl/worksheets/sheet6.xml" Id="R252cd59d381f4528" /><Relationship Type="http://schemas.openxmlformats.org/officeDocument/2006/relationships/worksheet" Target="/xl/worksheets/sheet7.xml" Id="R7923002d5d5d4c91" /><Relationship Type="http://schemas.openxmlformats.org/officeDocument/2006/relationships/worksheet" Target="/xl/worksheets/sheet8.xml" Id="R5f7731fa53fa47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7108b93d4148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execution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'Release Dashboard'!$H$5:$H$9</c:f>
              <c:strCache>
                <c:ptCount val="0"/>
              </c:strCache>
            </c:strRef>
          </c:cat>
          <c:val>
            <c:numRef>
              <c:f>'Release Dashboard'!$I$5:$I$9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7108b93d41485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hrishTestCases" displayName="ShrishTestCases" ref="A3:P193" headerRowCount="1" totalsRowCount="0" totalsRowShown="0">
  <x:tableColumns count="16">
    <x:tableColumn id="1" name="Test ID"/>
    <x:tableColumn id="2" name="Area"/>
    <x:tableColumn id="3" name="Feature"/>
    <x:tableColumn id="4" name="Priority"/>
    <x:tableColumn id="5" name="Environment"/>
    <x:tableColumn id="6" name="Device / View"/>
    <x:tableColumn id="7" name="Preconditions"/>
    <x:tableColumn id="8" name="Test Steps"/>
    <x:tableColumn id="9" name="Expected Result"/>
    <x:tableColumn id="10" name="Status"/>
    <x:tableColumn id="11" name="Actual Result"/>
    <x:tableColumn id="12" name="Severity if Failed"/>
    <x:tableColumn id="13" name="Evidence / URL"/>
    <x:tableColumn id="14" name="Tester"/>
    <x:tableColumn id="15" name="Test Date"/>
    <x:tableColumn id="16" name="Defect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rishDeviceMatrix" displayName="ShrishDeviceMatrix" ref="A3:J15" headerRowCount="1" totalsRowCount="0" totalsRowShown="0">
  <x:tableColumns count="10">
    <x:tableColumn id="1" name="ID"/>
    <x:tableColumn id="2" name="Platform"/>
    <x:tableColumn id="3" name="Device / Viewport"/>
    <x:tableColumn id="4" name="Browser"/>
    <x:tableColumn id="5" name="Required Scope"/>
    <x:tableColumn id="6" name="Priority"/>
    <x:tableColumn id="7" name="Status"/>
    <x:tableColumn id="8" name="Evidence"/>
    <x:tableColumn id="9" name="Tester"/>
    <x:tableColumn id="10" name="Date /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hrishImageAudit" displayName="ShrishImageAudit" ref="A3:K16" headerRowCount="1" totalsRowCount="0" totalsRowShown="0">
  <x:tableColumns count="11">
    <x:tableColumn id="1" name="Product"/>
    <x:tableColumn id="2" name="Expected image files"/>
    <x:tableColumn id="3" name="Expected count"/>
    <x:tableColumn id="4" name="Card image correct"/>
    <x:tableColumn id="5" name="Modal gallery count"/>
    <x:tableColumn id="6" name="Images match product"/>
    <x:tableColumn id="7" name="No old/mismatched image"/>
    <x:tableColumn id="8" name="Mobile crop"/>
    <x:tableColumn id="9" name="All files load"/>
    <x:tableColumn id="10" name="Status"/>
    <x:tableColumn id="11" name="Evidence /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hrishDefectLog" displayName="ShrishDefectLog" ref="A3:O43" headerRowCount="1" totalsRowCount="0" totalsRowShown="0">
  <x:tableColumns count="15">
    <x:tableColumn id="1" name="Defect ID"/>
    <x:tableColumn id="2" name="Test Case ID"/>
    <x:tableColumn id="3" name="Title"/>
    <x:tableColumn id="4" name="Severity"/>
    <x:tableColumn id="5" name="Page / Feature"/>
    <x:tableColumn id="6" name="Environment"/>
    <x:tableColumn id="7" name="Device / Browser"/>
    <x:tableColumn id="8" name="Reproduction Steps"/>
    <x:tableColumn id="9" name="Actual Result"/>
    <x:tableColumn id="10" name="Expected Result"/>
    <x:tableColumn id="11" name="Evidence"/>
    <x:tableColumn id="12" name="Owner"/>
    <x:tableColumn id="13" name="Status"/>
    <x:tableColumn id="14" name="Opened"/>
    <x:tableColumn id="15" name="Closed / Retest 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hrishReleaseChecklist" displayName="ShrishReleaseChecklist" ref="A3:I23" headerRowCount="1" totalsRowCount="0" totalsRowShown="0">
  <x:tableColumns count="9">
    <x:tableColumn id="1" name="Gate ID"/>
    <x:tableColumn id="2" name="Phase"/>
    <x:tableColumn id="3" name="Check"/>
    <x:tableColumn id="4" name="Priority"/>
    <x:tableColumn id="5" name="How to verify"/>
    <x:tableColumn id="6" name="Expected evidence"/>
    <x:tableColumn id="7" name="Owner"/>
    <x:tableColumn id="8" name="Status"/>
    <x:tableColumn id="9" name="Notes / 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6039d232cf4a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a7f11f292754a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7464e8bf1c24c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85e4f0048cf40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8059735b35c4a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d30d8a0df0648a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43" t="str">
        <x:v>SHRISH Complete QA Test Plan</x:v>
      </x:c>
      <x:c r="B1" s="43"/>
      <x:c r="C1" s="43"/>
      <x:c r="D1" s="43"/>
      <x:c r="E1" s="43"/>
      <x:c r="F1" s="43"/>
      <x:c r="G1" s="43"/>
      <x:c r="H1" s="43"/>
    </x:row>
    <x:row r="2" ht="26" customHeight="1">
      <x:c r="A2" s="7" t="str">
        <x:v>Reusable release guide for development validation, production readiness, and post-deploy smoke testing</x:v>
      </x:c>
      <x:c r="B2" s="7"/>
      <x:c r="C2" s="7"/>
      <x:c r="D2" s="7"/>
      <x:c r="E2" s="7"/>
      <x:c r="F2" s="7"/>
      <x:c r="G2" s="7"/>
      <x:c r="H2" s="7"/>
    </x:row>
    <x:row r="3">
      <x:c r="A3" s="44" t="str">
        <x:v>Workbook version</x:v>
      </x:c>
      <x:c r="B3" s="45" t="str">
        <x:v>1.0</x:v>
      </x:c>
      <x:c r="C3" s="46"/>
      <x:c r="D3" s="46"/>
      <x:c r="E3" s="46"/>
      <x:c r="F3" s="46"/>
      <x:c r="G3" s="46"/>
      <x:c r="H3" s="46"/>
    </x:row>
    <x:row r="4">
      <x:c r="A4" s="44" t="str">
        <x:v>Prepared for</x:v>
      </x:c>
      <x:c r="B4" s="45" t="str">
        <x:v>SHRISH business website</x:v>
      </x:c>
      <x:c r="C4" s="46"/>
      <x:c r="D4" s="46"/>
      <x:c r="E4" s="46"/>
      <x:c r="F4" s="46"/>
      <x:c r="G4" s="46"/>
      <x:c r="H4" s="46"/>
    </x:row>
    <x:row r="5">
      <x:c r="A5" s="44" t="str">
        <x:v>Development URL</x:v>
      </x:c>
      <x:c r="B5" s="45" t="str">
        <x:v>https://dev.shrish.co/</x:v>
      </x:c>
      <x:c r="C5" s="46"/>
      <x:c r="D5" s="46"/>
      <x:c r="E5" s="46"/>
      <x:c r="F5" s="46"/>
      <x:c r="G5" s="46"/>
      <x:c r="H5" s="46"/>
    </x:row>
    <x:row r="6">
      <x:c r="A6" s="44" t="str">
        <x:v>Production URL</x:v>
      </x:c>
      <x:c r="B6" s="45" t="str">
        <x:v>https://www.shrish.co/</x:v>
      </x:c>
      <x:c r="C6" s="46"/>
      <x:c r="D6" s="46"/>
      <x:c r="E6" s="46"/>
      <x:c r="F6" s="46"/>
      <x:c r="G6" s="46"/>
      <x:c r="H6" s="46"/>
    </x:row>
    <x:row r="7">
      <x:c r="A7" s="44" t="str">
        <x:v>Generated</x:v>
      </x:c>
      <x:c r="B7" s="45" t="str">
        <x:v>2026-07-16</x:v>
      </x:c>
      <x:c r="C7" s="46"/>
      <x:c r="D7" s="46"/>
      <x:c r="E7" s="46"/>
      <x:c r="F7" s="46"/>
      <x:c r="G7" s="46"/>
      <x:c r="H7" s="46"/>
    </x:row>
    <x:row r="8">
      <x:c r="A8" s="44" t="str">
        <x:v>Test library</x:v>
      </x:c>
      <x:c r="B8" s="45" t="str">
        <x:v>190 detailed test cases</x:v>
      </x:c>
      <x:c r="C8" s="46"/>
      <x:c r="D8" s="46"/>
      <x:c r="E8" s="46"/>
      <x:c r="F8" s="46"/>
      <x:c r="G8" s="46"/>
      <x:c r="H8" s="46"/>
    </x:row>
    <x:row r="9">
      <x:c r="A9" s="46"/>
      <x:c r="B9" s="46"/>
      <x:c r="C9" s="46"/>
      <x:c r="D9" s="46"/>
      <x:c r="E9" s="46"/>
      <x:c r="F9" s="46"/>
      <x:c r="G9" s="46"/>
      <x:c r="H9" s="46"/>
    </x:row>
    <x:row r="10" ht="24" customHeight="1">
      <x:c r="A10" s="47" t="str">
        <x:v>How to use this workbook</x:v>
      </x:c>
      <x:c r="B10" s="47"/>
      <x:c r="C10" s="47"/>
      <x:c r="D10" s="47"/>
      <x:c r="E10" s="47"/>
      <x:c r="F10" s="47"/>
      <x:c r="G10" s="47"/>
      <x:c r="H10" s="47"/>
    </x:row>
    <x:row r="11" ht="34" customHeight="1">
      <x:c r="A11" s="23" t="str">
        <x:v>1</x:v>
      </x:c>
      <x:c r="B11" s="26" t="str">
        <x:v>Prepare</x:v>
      </x:c>
      <x:c r="C11" s="20" t="str">
        <x:v>Use a dedicated test account, test email, Stripe test mode, and orders prefixed with QA.</x:v>
      </x:c>
      <x:c r="D11" s="20" t="str"/>
      <x:c r="E11" s="20" t="str"/>
      <x:c r="F11" s="20" t="str"/>
      <x:c r="G11" s="20" t="str"/>
      <x:c r="H11" s="20" t="str"/>
    </x:row>
    <x:row r="12" ht="34" customHeight="1">
      <x:c r="A12" s="23" t="str">
        <x:v>2</x:v>
      </x:c>
      <x:c r="B12" s="26" t="str">
        <x:v>Run release gates</x:v>
      </x:c>
      <x:c r="C12" s="20" t="str">
        <x:v>Complete the Release Checklist first. Stop if any P0 gate fails.</x:v>
      </x:c>
      <x:c r="D12" s="20" t="str"/>
      <x:c r="E12" s="20" t="str"/>
      <x:c r="F12" s="20" t="str"/>
      <x:c r="G12" s="20" t="str"/>
      <x:c r="H12" s="20" t="str"/>
    </x:row>
    <x:row r="13" ht="34" customHeight="1">
      <x:c r="A13" s="23" t="str">
        <x:v>3</x:v>
      </x:c>
      <x:c r="B13" s="26" t="str">
        <x:v>Execute cases</x:v>
      </x:c>
      <x:c r="C13" s="20" t="str">
        <x:v>Filter Test Cases by area, priority, environment, or device. Record Pass/Fail and evidence.</x:v>
      </x:c>
      <x:c r="D13" s="20" t="str"/>
      <x:c r="E13" s="20" t="str"/>
      <x:c r="F13" s="20" t="str"/>
      <x:c r="G13" s="20" t="str"/>
      <x:c r="H13" s="20" t="str"/>
    </x:row>
    <x:row r="14" ht="34" customHeight="1">
      <x:c r="A14" s="23" t="str">
        <x:v>4</x:v>
      </x:c>
      <x:c r="B14" s="26" t="str">
        <x:v>Cover devices</x:v>
      </x:c>
      <x:c r="C14" s="20" t="str">
        <x:v>Use Device Matrix to confirm desktop, iPhone, Android, and tablet coverage.</x:v>
      </x:c>
      <x:c r="D14" s="20" t="str"/>
      <x:c r="E14" s="20" t="str"/>
      <x:c r="F14" s="20" t="str"/>
      <x:c r="G14" s="20" t="str"/>
      <x:c r="H14" s="20" t="str"/>
    </x:row>
    <x:row r="15" ht="34" customHeight="1">
      <x:c r="A15" s="23" t="str">
        <x:v>5</x:v>
      </x:c>
      <x:c r="B15" s="26" t="str">
        <x:v>Log defects</x:v>
      </x:c>
      <x:c r="C15" s="20" t="str">
        <x:v>Create a Defect Log row for each failure and link its test case ID.</x:v>
      </x:c>
      <x:c r="D15" s="20" t="str"/>
      <x:c r="E15" s="20" t="str"/>
      <x:c r="F15" s="20" t="str"/>
      <x:c r="G15" s="20" t="str"/>
      <x:c r="H15" s="20" t="str"/>
    </x:row>
    <x:row r="16" ht="34" customHeight="1">
      <x:c r="A16" s="23" t="str">
        <x:v>6</x:v>
      </x:c>
      <x:c r="B16" s="26" t="str">
        <x:v>Release decision</x:v>
      </x:c>
      <x:c r="C16" s="20" t="str">
        <x:v>Approve only when all P0/P1 tests pass or have an explicitly accepted exception.</x:v>
      </x:c>
      <x:c r="D16" s="20" t="str"/>
      <x:c r="E16" s="20" t="str"/>
      <x:c r="F16" s="20" t="str"/>
      <x:c r="G16" s="20" t="str"/>
      <x:c r="H16" s="20" t="str"/>
    </x:row>
    <x:row r="17">
      <x:c r="A17" s="46"/>
      <x:c r="B17" s="46"/>
      <x:c r="C17" s="46"/>
      <x:c r="D17" s="46"/>
      <x:c r="E17" s="46"/>
      <x:c r="F17" s="46"/>
      <x:c r="G17" s="46"/>
      <x:c r="H17" s="46"/>
    </x:row>
    <x:row r="18" ht="24" customHeight="1">
      <x:c r="A18" s="47" t="str">
        <x:v>Release rules</x:v>
      </x:c>
      <x:c r="B18" s="47"/>
      <x:c r="C18" s="47"/>
      <x:c r="D18" s="47"/>
      <x:c r="E18" s="47"/>
      <x:c r="F18" s="47"/>
      <x:c r="G18" s="47"/>
      <x:c r="H18" s="47"/>
    </x:row>
    <x:row r="19" ht="30" customHeight="1">
      <x:c r="A19" s="29" t="str">
        <x:v>Gate</x:v>
      </x:c>
      <x:c r="B19" s="20" t="str">
        <x:v>All P0 and P1 cases Pass, or an owner documents and accepts the exception.</x:v>
      </x:c>
      <x:c r="C19" s="20" t="str"/>
      <x:c r="D19" s="20" t="str"/>
      <x:c r="E19" s="20" t="str"/>
      <x:c r="F19" s="20" t="str"/>
      <x:c r="G19" s="20" t="str"/>
      <x:c r="H19" s="20" t="str"/>
    </x:row>
    <x:row r="20" ht="30" customHeight="1">
      <x:c r="A20" s="29" t="str">
        <x:v>Defects</x:v>
      </x:c>
      <x:c r="B20" s="20" t="str">
        <x:v>Zero open Critical or High defects. Medium defects require an owner and target date.</x:v>
      </x:c>
      <x:c r="C20" s="20" t="str"/>
      <x:c r="D20" s="20" t="str"/>
      <x:c r="E20" s="20" t="str"/>
      <x:c r="F20" s="20" t="str"/>
      <x:c r="G20" s="20" t="str"/>
      <x:c r="H20" s="20" t="str"/>
    </x:row>
    <x:row r="21" ht="30" customHeight="1">
      <x:c r="A21" s="29" t="str">
        <x:v>Payments</x:v>
      </x:c>
      <x:c r="B21" s="20" t="str">
        <x:v>Use Stripe test mode on development. Never place an unapproved live production charge.</x:v>
      </x:c>
      <x:c r="C21" s="20" t="str"/>
      <x:c r="D21" s="20" t="str"/>
      <x:c r="E21" s="20" t="str"/>
      <x:c r="F21" s="20" t="str"/>
      <x:c r="G21" s="20" t="str"/>
      <x:c r="H21" s="20" t="str"/>
    </x:row>
    <x:row r="22" ht="30" customHeight="1">
      <x:c r="A22" s="29" t="str">
        <x:v>Production</x:v>
      </x:c>
      <x:c r="B22" s="20" t="str">
        <x:v>Do deep testing on development. Production receives a controlled smoke test after deployment.</x:v>
      </x:c>
      <x:c r="C22" s="20" t="str"/>
      <x:c r="D22" s="20" t="str"/>
      <x:c r="E22" s="20" t="str"/>
      <x:c r="F22" s="20" t="str"/>
      <x:c r="G22" s="20" t="str"/>
      <x:c r="H22" s="20" t="str"/>
    </x:row>
    <x:row r="23" ht="30" customHeight="1">
      <x:c r="A23" s="29" t="str">
        <x:v>Data</x:v>
      </x:c>
      <x:c r="B23" s="20" t="str">
        <x:v>Use test customers/orders and clean them up. Do not alter real customer orders for QA.</x:v>
      </x:c>
      <x:c r="C23" s="20" t="str"/>
      <x:c r="D23" s="20" t="str"/>
      <x:c r="E23" s="20" t="str"/>
      <x:c r="F23" s="20" t="str"/>
      <x:c r="G23" s="20" t="str"/>
      <x:c r="H23" s="20" t="str"/>
    </x:row>
    <x:row r="24" ht="30" customHeight="1">
      <x:c r="A24" s="29" t="str">
        <x:v>Evidence</x:v>
      </x:c>
      <x:c r="B24" s="20" t="str">
        <x:v>Attach screenshot, order number, deployment URL, console log, or defect ID for every failure.</x:v>
      </x:c>
      <x:c r="C24" s="20" t="str"/>
      <x:c r="D24" s="20" t="str"/>
      <x:c r="E24" s="20" t="str"/>
      <x:c r="F24" s="20" t="str"/>
      <x:c r="G24" s="20" t="str"/>
      <x:c r="H24" s="20" t="str"/>
    </x:row>
    <x:row r="25">
      <x:c r="A25" s="46"/>
      <x:c r="B25" s="46"/>
      <x:c r="C25" s="46"/>
      <x:c r="D25" s="46"/>
      <x:c r="E25" s="46"/>
      <x:c r="F25" s="46"/>
      <x:c r="G25" s="46"/>
      <x:c r="H25" s="46"/>
    </x:row>
    <x:row r="26" ht="24" customHeight="1">
      <x:c r="A26" s="47" t="str">
        <x:v>Status legend</x:v>
      </x:c>
      <x:c r="B26" s="47"/>
      <x:c r="C26" s="47"/>
      <x:c r="D26" s="47"/>
      <x:c r="E26" s="47"/>
      <x:c r="F26" s="47"/>
      <x:c r="G26" s="47"/>
      <x:c r="H26" s="47"/>
    </x:row>
    <x:row r="27" ht="30" customHeight="1">
      <x:c r="A27" s="33" t="str">
        <x:v>Not Run</x:v>
      </x:c>
      <x:c r="B27" s="35" t="str">
        <x:v>Pass</x:v>
      </x:c>
      <x:c r="C27" s="37" t="str">
        <x:v>Fail</x:v>
      </x:c>
      <x:c r="D27" s="39" t="str">
        <x:v>Blocked</x:v>
      </x:c>
      <x:c r="E27" s="41" t="str">
        <x:v>N/A</x:v>
      </x:c>
      <x:c r="F27" s="46"/>
      <x:c r="G27" s="46"/>
      <x:c r="H27" s="46"/>
    </x:row>
    <x:row r="28" ht="30" customHeight="1">
      <x:c r="A28" s="42" t="str">
        <x:v>Not executed</x:v>
      </x:c>
      <x:c r="B28" s="42" t="str">
        <x:v>Matches expected result</x:v>
      </x:c>
      <x:c r="C28" s="42" t="str">
        <x:v>Unexpected behavior</x:v>
      </x:c>
      <x:c r="D28" s="42" t="str">
        <x:v>Cannot run due to dependency</x:v>
      </x:c>
      <x:c r="E28" s="42" t="str">
        <x:v>Not applicable to this release</x:v>
      </x:c>
      <x:c r="F28" s="46"/>
      <x:c r="G28" s="46"/>
      <x:c r="H28" s="46"/>
    </x:row>
    <x:row r="29">
      <x:c r="A29" s="46"/>
      <x:c r="B29" s="46"/>
      <x:c r="C29" s="46"/>
      <x:c r="D29" s="46"/>
      <x:c r="E29" s="46"/>
      <x:c r="F29" s="46"/>
      <x:c r="G29" s="46"/>
      <x:c r="H29" s="46"/>
    </x:row>
    <x:row r="30">
      <x:c r="A30" s="46"/>
      <x:c r="B30" s="46"/>
      <x:c r="C30" s="46"/>
      <x:c r="D30" s="46"/>
      <x:c r="E30" s="46"/>
      <x:c r="F30" s="46"/>
      <x:c r="G30" s="46"/>
      <x:c r="H30" s="46"/>
    </x:row>
  </x:sheetData>
  <x:mergeCells>
    <x:mergeCell ref="A1:H1"/>
    <x:mergeCell ref="A2:H2"/>
    <x:mergeCell ref="A10:H10"/>
    <x:mergeCell ref="C11:H11"/>
    <x:mergeCell ref="C12:H12"/>
    <x:mergeCell ref="C13:H13"/>
    <x:mergeCell ref="C14:H14"/>
    <x:mergeCell ref="C15:H15"/>
    <x:mergeCell ref="C16:H16"/>
    <x:mergeCell ref="A18:H18"/>
    <x:mergeCell ref="B19:H19"/>
    <x:mergeCell ref="B20:H20"/>
    <x:mergeCell ref="B21:H21"/>
    <x:mergeCell ref="B22:H22"/>
    <x:mergeCell ref="B23:H23"/>
    <x:mergeCell ref="B24:H24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6" hidden="0" customWidth="1"/>
    <x:col min="4" max="4" width="9" hidden="0" customWidth="1"/>
    <x:col min="5" max="5" width="18" hidden="0" customWidth="1"/>
    <x:col min="6" max="6" width="18" hidden="0" customWidth="1"/>
    <x:col min="7" max="7" width="28" hidden="0" customWidth="1"/>
    <x:col min="8" max="8" width="42" hidden="0" customWidth="1"/>
    <x:col min="9" max="9" width="40" hidden="0" customWidth="1"/>
    <x:col min="10" max="10" width="11" hidden="0" customWidth="1"/>
    <x:col min="11" max="11" width="30" hidden="0" customWidth="1"/>
    <x:col min="12" max="12" width="15" hidden="0" customWidth="1"/>
    <x:col min="13" max="13" width="24" hidden="0" customWidth="1"/>
    <x:col min="14" max="14" width="16" hidden="0" customWidth="1"/>
    <x:col min="15" max="15" width="13" hidden="0" customWidth="1"/>
    <x:col min="16" max="16" width="28" hidden="0" customWidth="1"/>
  </x:cols>
  <x:sheetData>
    <x:row r="1" ht="34" customHeight="1">
      <x:c r="A1" s="3" t="str">
        <x:v>Detailed Test Cases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6" customHeight="1">
      <x:c r="A2" s="7" t="str">
        <x:v>Filter by priority, area, environment, or device. Enter execution results in the white columns.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32" customHeight="1">
      <x:c r="A3" s="29" t="str">
        <x:v>Test ID</x:v>
      </x:c>
      <x:c r="B3" s="29" t="str">
        <x:v>Area</x:v>
      </x:c>
      <x:c r="C3" s="29" t="str">
        <x:v>Feature</x:v>
      </x:c>
      <x:c r="D3" s="29" t="str">
        <x:v>Priority</x:v>
      </x:c>
      <x:c r="E3" s="29" t="str">
        <x:v>Environment</x:v>
      </x:c>
      <x:c r="F3" s="29" t="str">
        <x:v>Device / View</x:v>
      </x:c>
      <x:c r="G3" s="29" t="str">
        <x:v>Preconditions</x:v>
      </x:c>
      <x:c r="H3" s="29" t="str">
        <x:v>Test Steps</x:v>
      </x:c>
      <x:c r="I3" s="29" t="str">
        <x:v>Expected Result</x:v>
      </x:c>
      <x:c r="J3" s="29" t="str">
        <x:v>Status</x:v>
      </x:c>
      <x:c r="K3" s="29" t="str">
        <x:v>Actual Result</x:v>
      </x:c>
      <x:c r="L3" s="29" t="str">
        <x:v>Severity if Failed</x:v>
      </x:c>
      <x:c r="M3" s="29" t="str">
        <x:v>Evidence / URL</x:v>
      </x:c>
      <x:c r="N3" s="29" t="str">
        <x:v>Tester</x:v>
      </x:c>
      <x:c r="O3" s="29" t="str">
        <x:v>Test Date</x:v>
      </x:c>
      <x:c r="P3" s="29" t="str">
        <x:v>Defect / Notes</x:v>
      </x:c>
    </x:row>
    <x:row r="4" ht="50" customHeight="1">
      <x:c r="A4" s="53" t="str">
        <x:v>REL-001</x:v>
      </x:c>
      <x:c r="B4" s="53" t="str">
        <x:v>Release &amp; deployment</x:v>
      </x:c>
      <x:c r="C4" s="53" t="str">
        <x:v>Main/development branch alignment</x:v>
      </x:c>
      <x:c r="D4" s="53" t="str">
        <x:v>P0</x:v>
      </x:c>
      <x:c r="E4" s="53" t="str">
        <x:v>Development</x:v>
      </x:c>
      <x:c r="F4" s="53" t="str">
        <x:v>Git</x:v>
      </x:c>
      <x:c r="G4" s="53" t="str">
        <x:v>Latest remote branches fetched</x:v>
      </x:c>
      <x:c r="H4" s="53" t="str">
        <x:v>Compare main and developement commit history; document intentional differences.</x:v>
      </x:c>
      <x:c r="I4" s="53" t="str">
        <x:v>No unexpected divergence; production changes are understood.</x:v>
      </x:c>
      <x:c r="J4" s="53" t="str">
        <x:v>Not Run</x:v>
      </x:c>
      <x:c r="K4" s="53" t="str"/>
      <x:c r="L4" s="53" t="str">
        <x:v>N/A</x:v>
      </x:c>
      <x:c r="M4" s="53" t="str"/>
      <x:c r="N4" s="53" t="str"/>
      <x:c r="O4" s="54" t="str"/>
      <x:c r="P4" s="53" t="str"/>
    </x:row>
    <x:row r="5" ht="50" customHeight="1">
      <x:c r="A5" s="53" t="str">
        <x:v>REL-002</x:v>
      </x:c>
      <x:c r="B5" s="53" t="str">
        <x:v>Release &amp; deployment</x:v>
      </x:c>
      <x:c r="C5" s="53" t="str">
        <x:v>Clean working tree</x:v>
      </x:c>
      <x:c r="D5" s="53" t="str">
        <x:v>P0</x:v>
      </x:c>
      <x:c r="E5" s="53" t="str">
        <x:v>Development</x:v>
      </x:c>
      <x:c r="F5" s="53" t="str">
        <x:v>Git</x:v>
      </x:c>
      <x:c r="G5" s="53" t="str">
        <x:v>Correct release branch checked out</x:v>
      </x:c>
      <x:c r="H5" s="53" t="str">
        <x:v>Run git status and review every tracked/untracked file.</x:v>
      </x:c>
      <x:c r="I5" s="53" t="str">
        <x:v>Only intended release files are present; no secrets, temp files, or accidental outputs.</x:v>
      </x:c>
      <x:c r="J5" s="53" t="str">
        <x:v>Not Run</x:v>
      </x:c>
      <x:c r="K5" s="53" t="str"/>
      <x:c r="L5" s="53" t="str">
        <x:v>N/A</x:v>
      </x:c>
      <x:c r="M5" s="53" t="str"/>
      <x:c r="N5" s="53" t="str"/>
      <x:c r="O5" s="54" t="str"/>
      <x:c r="P5" s="53" t="str"/>
    </x:row>
    <x:row r="6" ht="50" customHeight="1">
      <x:c r="A6" s="53" t="str">
        <x:v>REL-003</x:v>
      </x:c>
      <x:c r="B6" s="53" t="str">
        <x:v>Release &amp; deployment</x:v>
      </x:c>
      <x:c r="C6" s="53" t="str">
        <x:v>Production branch mapping</x:v>
      </x:c>
      <x:c r="D6" s="53" t="str">
        <x:v>P0</x:v>
      </x:c>
      <x:c r="E6" s="53" t="str">
        <x:v>Development</x:v>
      </x:c>
      <x:c r="F6" s="53" t="str">
        <x:v>Vercel</x:v>
      </x:c>
      <x:c r="G6" s="53" t="str">
        <x:v>Vercel access</x:v>
      </x:c>
      <x:c r="H6" s="53" t="str">
        <x:v>Confirm Production tracks main and Preview/dev.shrish.co tracks developement.</x:v>
      </x:c>
      <x:c r="I6" s="53" t="str">
        <x:v>Production cannot deploy from an unintended branch.</x:v>
      </x:c>
      <x:c r="J6" s="53" t="str">
        <x:v>Not Run</x:v>
      </x:c>
      <x:c r="K6" s="53" t="str"/>
      <x:c r="L6" s="53" t="str">
        <x:v>N/A</x:v>
      </x:c>
      <x:c r="M6" s="53" t="str"/>
      <x:c r="N6" s="53" t="str"/>
      <x:c r="O6" s="54" t="str"/>
      <x:c r="P6" s="53" t="str"/>
    </x:row>
    <x:row r="7" ht="50" customHeight="1">
      <x:c r="A7" s="53" t="str">
        <x:v>REL-004</x:v>
      </x:c>
      <x:c r="B7" s="53" t="str">
        <x:v>Release &amp; deployment</x:v>
      </x:c>
      <x:c r="C7" s="53" t="str">
        <x:v>Preview deployment health</x:v>
      </x:c>
      <x:c r="D7" s="53" t="str">
        <x:v>P0</x:v>
      </x:c>
      <x:c r="E7" s="53" t="str">
        <x:v>Development</x:v>
      </x:c>
      <x:c r="F7" s="53" t="str">
        <x:v>Desktop</x:v>
      </x:c>
      <x:c r="G7" s="53" t="str">
        <x:v>Latest preview deployed</x:v>
      </x:c>
      <x:c r="H7" s="53" t="str">
        <x:v>Open dev.shrish.co and inspect deployment status and browser console.</x:v>
      </x:c>
      <x:c r="I7" s="53" t="str">
        <x:v>Preview is Ready, correct commit is served, no boot errors.</x:v>
      </x:c>
      <x:c r="J7" s="53" t="str">
        <x:v>Not Run</x:v>
      </x:c>
      <x:c r="K7" s="53" t="str"/>
      <x:c r="L7" s="53" t="str">
        <x:v>N/A</x:v>
      </x:c>
      <x:c r="M7" s="53" t="str"/>
      <x:c r="N7" s="53" t="str"/>
      <x:c r="O7" s="54" t="str"/>
      <x:c r="P7" s="53" t="str"/>
    </x:row>
    <x:row r="8" ht="50" customHeight="1">
      <x:c r="A8" s="53" t="str">
        <x:v>REL-005</x:v>
      </x:c>
      <x:c r="B8" s="53" t="str">
        <x:v>Release &amp; deployment</x:v>
      </x:c>
      <x:c r="C8" s="53" t="str">
        <x:v>Firebase Functions runtime</x:v>
      </x:c>
      <x:c r="D8" s="53" t="str">
        <x:v>P0</x:v>
      </x:c>
      <x:c r="E8" s="53" t="str">
        <x:v>Development</x:v>
      </x:c>
      <x:c r="F8" s="53" t="str">
        <x:v>CLI</x:v>
      </x:c>
      <x:c r="G8" s="53" t="str">
        <x:v>Repository available</x:v>
      </x:c>
      <x:c r="H8" s="53" t="str">
        <x:v>Confirm functions/package.json uses supported Node runtime and dependencies install cleanly.</x:v>
      </x:c>
      <x:c r="I8" s="53" t="str">
        <x:v>Functions use Node 22 (or current approved runtime) and build successfully.</x:v>
      </x:c>
      <x:c r="J8" s="53" t="str">
        <x:v>Not Run</x:v>
      </x:c>
      <x:c r="K8" s="53" t="str"/>
      <x:c r="L8" s="53" t="str">
        <x:v>N/A</x:v>
      </x:c>
      <x:c r="M8" s="53" t="str"/>
      <x:c r="N8" s="53" t="str"/>
      <x:c r="O8" s="54" t="str"/>
      <x:c r="P8" s="53" t="str"/>
    </x:row>
    <x:row r="9" ht="50" customHeight="1">
      <x:c r="A9" s="53" t="str">
        <x:v>REL-006</x:v>
      </x:c>
      <x:c r="B9" s="53" t="str">
        <x:v>Release &amp; deployment</x:v>
      </x:c>
      <x:c r="C9" s="53" t="str">
        <x:v>Functions and rules deployment</x:v>
      </x:c>
      <x:c r="D9" s="53" t="str">
        <x:v>P0</x:v>
      </x:c>
      <x:c r="E9" s="53" t="str">
        <x:v>Development</x:v>
      </x:c>
      <x:c r="F9" s="53" t="str">
        <x:v>Firebase</x:v>
      </x:c>
      <x:c r="G9" s="53" t="str">
        <x:v>Firebase project selected</x:v>
      </x:c>
      <x:c r="H9" s="53" t="str">
        <x:v>Verify intended Cloud Functions and Firestore rules are deployed to the correct project.</x:v>
      </x:c>
      <x:c r="I9" s="53" t="str">
        <x:v>Deployed versions match the release commit.</x:v>
      </x:c>
      <x:c r="J9" s="53" t="str">
        <x:v>Not Run</x:v>
      </x:c>
      <x:c r="K9" s="53" t="str"/>
      <x:c r="L9" s="53" t="str">
        <x:v>N/A</x:v>
      </x:c>
      <x:c r="M9" s="53" t="str"/>
      <x:c r="N9" s="53" t="str"/>
      <x:c r="O9" s="54" t="str"/>
      <x:c r="P9" s="53" t="str"/>
    </x:row>
    <x:row r="10" ht="50" customHeight="1">
      <x:c r="A10" s="53" t="str">
        <x:v>REL-007</x:v>
      </x:c>
      <x:c r="B10" s="53" t="str">
        <x:v>Release &amp; deployment</x:v>
      </x:c>
      <x:c r="C10" s="53" t="str">
        <x:v>Required environment variables</x:v>
      </x:c>
      <x:c r="D10" s="53" t="str">
        <x:v>P0</x:v>
      </x:c>
      <x:c r="E10" s="53" t="str">
        <x:v>Development</x:v>
      </x:c>
      <x:c r="F10" s="53" t="str">
        <x:v>Vercel/Firebase</x:v>
      </x:c>
      <x:c r="G10" s="53" t="str">
        <x:v>Dashboard access</x:v>
      </x:c>
      <x:c r="H10" s="53" t="str">
        <x:v>Check required Stripe, Resend, Maps, PostHog, URLs, tax, and shipping variables without exposing values.</x:v>
      </x:c>
      <x:c r="I10" s="53" t="str">
        <x:v>Every required variable exists in the intended environment and no secret is client-exposed.</x:v>
      </x:c>
      <x:c r="J10" s="53" t="str">
        <x:v>Not Run</x:v>
      </x:c>
      <x:c r="K10" s="53" t="str"/>
      <x:c r="L10" s="53" t="str">
        <x:v>N/A</x:v>
      </x:c>
      <x:c r="M10" s="53" t="str"/>
      <x:c r="N10" s="53" t="str"/>
      <x:c r="O10" s="54" t="str"/>
      <x:c r="P10" s="53" t="str"/>
    </x:row>
    <x:row r="11" ht="50" customHeight="1">
      <x:c r="A11" s="53" t="str">
        <x:v>REL-008</x:v>
      </x:c>
      <x:c r="B11" s="53" t="str">
        <x:v>Release &amp; deployment</x:v>
      </x:c>
      <x:c r="C11" s="53" t="str">
        <x:v>Stripe webhook registration</x:v>
      </x:c>
      <x:c r="D11" s="53" t="str">
        <x:v>P0</x:v>
      </x:c>
      <x:c r="E11" s="53" t="str">
        <x:v>Development</x:v>
      </x:c>
      <x:c r="F11" s="53" t="str">
        <x:v>Stripe</x:v>
      </x:c>
      <x:c r="G11" s="53" t="str">
        <x:v>Stripe dashboard access</x:v>
      </x:c>
      <x:c r="H11" s="53" t="str">
        <x:v>Verify webhook endpoint, selected events, signing secret, and recent successful deliveries.</x:v>
      </x:c>
      <x:c r="I11" s="53" t="str">
        <x:v>Webhook deliveries return 2xx and use the correct environment secret.</x:v>
      </x:c>
      <x:c r="J11" s="53" t="str">
        <x:v>Not Run</x:v>
      </x:c>
      <x:c r="K11" s="53" t="str"/>
      <x:c r="L11" s="53" t="str">
        <x:v>N/A</x:v>
      </x:c>
      <x:c r="M11" s="53" t="str"/>
      <x:c r="N11" s="53" t="str"/>
      <x:c r="O11" s="54" t="str"/>
      <x:c r="P11" s="53" t="str"/>
    </x:row>
    <x:row r="12" ht="50" customHeight="1">
      <x:c r="A12" s="53" t="str">
        <x:v>REL-009</x:v>
      </x:c>
      <x:c r="B12" s="53" t="str">
        <x:v>Release &amp; deployment</x:v>
      </x:c>
      <x:c r="C12" s="53" t="str">
        <x:v>Stripe enable flag decision</x:v>
      </x:c>
      <x:c r="D12" s="53" t="str">
        <x:v>P0</x:v>
      </x:c>
      <x:c r="E12" s="53" t="str">
        <x:v>Development</x:v>
      </x:c>
      <x:c r="F12" s="53" t="str">
        <x:v>Config</x:v>
      </x:c>
      <x:c r="G12" s="53" t="str">
        <x:v>Release decision documented</x:v>
      </x:c>
      <x:c r="H12" s="53" t="str">
        <x:v>Confirm STRIPE_PAYMENTS_ENABLED and test/live key modes match release intent.</x:v>
      </x:c>
      <x:c r="I12" s="53" t="str">
        <x:v>No accidental live charging in dev; production behavior matches approved release.</x:v>
      </x:c>
      <x:c r="J12" s="53" t="str">
        <x:v>Not Run</x:v>
      </x:c>
      <x:c r="K12" s="53" t="str"/>
      <x:c r="L12" s="53" t="str">
        <x:v>N/A</x:v>
      </x:c>
      <x:c r="M12" s="53" t="str"/>
      <x:c r="N12" s="53" t="str"/>
      <x:c r="O12" s="54" t="str"/>
      <x:c r="P12" s="53" t="str"/>
    </x:row>
    <x:row r="13" ht="50" customHeight="1">
      <x:c r="A13" s="53" t="str">
        <x:v>REL-010</x:v>
      </x:c>
      <x:c r="B13" s="53" t="str">
        <x:v>Release &amp; deployment</x:v>
      </x:c>
      <x:c r="C13" s="53" t="str">
        <x:v>Rollback point</x:v>
      </x:c>
      <x:c r="D13" s="53" t="str">
        <x:v>P1</x:v>
      </x:c>
      <x:c r="E13" s="53" t="str">
        <x:v>Development</x:v>
      </x:c>
      <x:c r="F13" s="53" t="str">
        <x:v>Git/Vercel</x:v>
      </x:c>
      <x:c r="G13" s="53" t="str">
        <x:v>Candidate identified</x:v>
      </x:c>
      <x:c r="H13" s="53" t="str">
        <x:v>Record the last known-good commit and Vercel deployment before release.</x:v>
      </x:c>
      <x:c r="I13" s="53" t="str">
        <x:v>Rollback can be completed quickly without guessing.</x:v>
      </x:c>
      <x:c r="J13" s="53" t="str">
        <x:v>Not Run</x:v>
      </x:c>
      <x:c r="K13" s="53" t="str"/>
      <x:c r="L13" s="53" t="str">
        <x:v>N/A</x:v>
      </x:c>
      <x:c r="M13" s="53" t="str"/>
      <x:c r="N13" s="53" t="str"/>
      <x:c r="O13" s="54" t="str"/>
      <x:c r="P13" s="53" t="str"/>
    </x:row>
    <x:row r="14" ht="50" customHeight="1">
      <x:c r="A14" s="53" t="str">
        <x:v>REL-011</x:v>
      </x:c>
      <x:c r="B14" s="53" t="str">
        <x:v>Release &amp; deployment</x:v>
      </x:c>
      <x:c r="C14" s="53" t="str">
        <x:v>Static asset cache refresh</x:v>
      </x:c>
      <x:c r="D14" s="53" t="str">
        <x:v>P1</x:v>
      </x:c>
      <x:c r="E14" s="53" t="str">
        <x:v>Development + production smoke</x:v>
      </x:c>
      <x:c r="F14" s="53" t="str">
        <x:v>Desktop + mobile</x:v>
      </x:c>
      <x:c r="G14" s="53" t="str">
        <x:v>New deployment available</x:v>
      </x:c>
      <x:c r="H14" s="53" t="str">
        <x:v>Hard reload; inspect CSS/JS/image responses and service-worker version.</x:v>
      </x:c>
      <x:c r="I14" s="53" t="str">
        <x:v>New assets are served; old cached behavior does not persist.</x:v>
      </x:c>
      <x:c r="J14" s="53" t="str">
        <x:v>Not Run</x:v>
      </x:c>
      <x:c r="K14" s="53" t="str"/>
      <x:c r="L14" s="53" t="str">
        <x:v>N/A</x:v>
      </x:c>
      <x:c r="M14" s="53" t="str"/>
      <x:c r="N14" s="53" t="str"/>
      <x:c r="O14" s="54" t="str"/>
      <x:c r="P14" s="53" t="str"/>
    </x:row>
    <x:row r="15" ht="50" customHeight="1">
      <x:c r="A15" s="53" t="str">
        <x:v>REL-012</x:v>
      </x:c>
      <x:c r="B15" s="53" t="str">
        <x:v>Release &amp; deployment</x:v>
      </x:c>
      <x:c r="C15" s="53" t="str">
        <x:v>Post-deploy smoke</x:v>
      </x:c>
      <x:c r="D15" s="53" t="str">
        <x:v>P0</x:v>
      </x:c>
      <x:c r="E15" s="53" t="str">
        <x:v>Production</x:v>
      </x:c>
      <x:c r="F15" s="53" t="str">
        <x:v>Desktop + mobile</x:v>
      </x:c>
      <x:c r="G15" s="53" t="str">
        <x:v>Production deployment complete</x:v>
      </x:c>
      <x:c r="H15" s="53" t="str">
        <x:v>Open home, shop, checkout, account, legal pages; add one item without completing live payment.</x:v>
      </x:c>
      <x:c r="I15" s="53" t="str">
        <x:v>Critical production paths load and behave normally.</x:v>
      </x:c>
      <x:c r="J15" s="53" t="str">
        <x:v>Not Run</x:v>
      </x:c>
      <x:c r="K15" s="53" t="str"/>
      <x:c r="L15" s="53" t="str">
        <x:v>N/A</x:v>
      </x:c>
      <x:c r="M15" s="53" t="str"/>
      <x:c r="N15" s="53" t="str"/>
      <x:c r="O15" s="54" t="str"/>
      <x:c r="P15" s="53" t="str"/>
    </x:row>
    <x:row r="16" ht="50" customHeight="1">
      <x:c r="A16" s="53" t="str">
        <x:v>NAV-001</x:v>
      </x:c>
      <x:c r="B16" s="53" t="str">
        <x:v>Public pages &amp; navigation</x:v>
      </x:c>
      <x:c r="C16" s="53" t="str">
        <x:v>All public pages load</x:v>
      </x:c>
      <x:c r="D16" s="53" t="str">
        <x:v>P0</x:v>
      </x:c>
      <x:c r="E16" s="53" t="str">
        <x:v>Development + production smoke</x:v>
      </x:c>
      <x:c r="F16" s="53" t="str">
        <x:v>Desktop + mobile</x:v>
      </x:c>
      <x:c r="G16" s="53" t="str">
        <x:v>Site reachable</x:v>
      </x:c>
      <x:c r="H16" s="53" t="str">
        <x:v>Open Home, About, Shop, Recipes, Contact, Account, Privacy, Refund, Terms.</x:v>
      </x:c>
      <x:c r="I16" s="53" t="str">
        <x:v>Each page returns content, has no blank state, and shows the shared header/footer.</x:v>
      </x:c>
      <x:c r="J16" s="53" t="str">
        <x:v>Not Run</x:v>
      </x:c>
      <x:c r="K16" s="53" t="str"/>
      <x:c r="L16" s="53" t="str">
        <x:v>N/A</x:v>
      </x:c>
      <x:c r="M16" s="53" t="str"/>
      <x:c r="N16" s="53" t="str"/>
      <x:c r="O16" s="54" t="str"/>
      <x:c r="P16" s="53" t="str"/>
    </x:row>
    <x:row r="17" ht="50" customHeight="1">
      <x:c r="A17" s="53" t="str">
        <x:v>NAV-002</x:v>
      </x:c>
      <x:c r="B17" s="53" t="str">
        <x:v>Public pages &amp; navigation</x:v>
      </x:c>
      <x:c r="C17" s="53" t="str">
        <x:v>Desktop header alignment</x:v>
      </x:c>
      <x:c r="D17" s="53" t="str">
        <x:v>P1</x:v>
      </x:c>
      <x:c r="E17" s="53" t="str">
        <x:v>Development + production smoke</x:v>
      </x:c>
      <x:c r="F17" s="53" t="str">
        <x:v>Desktop 1366/1440/1920</x:v>
      </x:c>
      <x:c r="G17" s="53" t="str">
        <x:v>Page loaded</x:v>
      </x:c>
      <x:c r="H17" s="53" t="str">
        <x:v>Review logo, nav links, search, account, logout, and cart across widths.</x:v>
      </x:c>
      <x:c r="I17" s="53" t="str">
        <x:v>Header remains aligned with no clipping or unintended wrapping.</x:v>
      </x:c>
      <x:c r="J17" s="53" t="str">
        <x:v>Not Run</x:v>
      </x:c>
      <x:c r="K17" s="53" t="str"/>
      <x:c r="L17" s="53" t="str">
        <x:v>N/A</x:v>
      </x:c>
      <x:c r="M17" s="53" t="str"/>
      <x:c r="N17" s="53" t="str"/>
      <x:c r="O17" s="54" t="str"/>
      <x:c r="P17" s="53" t="str"/>
    </x:row>
    <x:row r="18" ht="50" customHeight="1">
      <x:c r="A18" s="53" t="str">
        <x:v>NAV-003</x:v>
      </x:c>
      <x:c r="B18" s="53" t="str">
        <x:v>Public pages &amp; navigation</x:v>
      </x:c>
      <x:c r="C18" s="53" t="str">
        <x:v>Mobile header alignment</x:v>
      </x:c>
      <x:c r="D18" s="53" t="str">
        <x:v>P0</x:v>
      </x:c>
      <x:c r="E18" s="53" t="str">
        <x:v>Development + production smoke</x:v>
      </x:c>
      <x:c r="F18" s="53" t="str">
        <x:v>iPhone + Android</x:v>
      </x:c>
      <x:c r="G18" s="53" t="str">
        <x:v>Page loaded</x:v>
      </x:c>
      <x:c r="H18" s="53" t="str">
        <x:v>Review logo, cart, and hamburger at 360, 375, 390, 412, and 430px.</x:v>
      </x:c>
      <x:c r="I18" s="53" t="str">
        <x:v>Controls are evenly aligned and do not overlap content.</x:v>
      </x:c>
      <x:c r="J18" s="53" t="str">
        <x:v>Not Run</x:v>
      </x:c>
      <x:c r="K18" s="53" t="str"/>
      <x:c r="L18" s="53" t="str">
        <x:v>N/A</x:v>
      </x:c>
      <x:c r="M18" s="53" t="str"/>
      <x:c r="N18" s="53" t="str"/>
      <x:c r="O18" s="54" t="str"/>
      <x:c r="P18" s="53" t="str"/>
    </x:row>
    <x:row r="19" ht="50" customHeight="1">
      <x:c r="A19" s="53" t="str">
        <x:v>NAV-004</x:v>
      </x:c>
      <x:c r="B19" s="53" t="str">
        <x:v>Public pages &amp; navigation</x:v>
      </x:c>
      <x:c r="C19" s="53" t="str">
        <x:v>Hamburger open and close</x:v>
      </x:c>
      <x:c r="D19" s="53" t="str">
        <x:v>P0</x:v>
      </x:c>
      <x:c r="E19" s="53" t="str">
        <x:v>Development + production smoke</x:v>
      </x:c>
      <x:c r="F19" s="53" t="str">
        <x:v>Mobile</x:v>
      </x:c>
      <x:c r="G19" s="53" t="str">
        <x:v>Mobile viewport</x:v>
      </x:c>
      <x:c r="H19" s="53" t="str">
        <x:v>Open menu, use close/hamburger, tap outside, press Escape where available.</x:v>
      </x:c>
      <x:c r="I19" s="53" t="str">
        <x:v>Menu opens once, closes reliably, and restores page scrolling.</x:v>
      </x:c>
      <x:c r="J19" s="53" t="str">
        <x:v>Not Run</x:v>
      </x:c>
      <x:c r="K19" s="53" t="str"/>
      <x:c r="L19" s="53" t="str">
        <x:v>N/A</x:v>
      </x:c>
      <x:c r="M19" s="53" t="str"/>
      <x:c r="N19" s="53" t="str"/>
      <x:c r="O19" s="54" t="str"/>
      <x:c r="P19" s="53" t="str"/>
    </x:row>
    <x:row r="20" ht="50" customHeight="1">
      <x:c r="A20" s="53" t="str">
        <x:v>NAV-005</x:v>
      </x:c>
      <x:c r="B20" s="53" t="str">
        <x:v>Public pages &amp; navigation</x:v>
      </x:c>
      <x:c r="C20" s="53" t="str">
        <x:v>Mobile menu content</x:v>
      </x:c>
      <x:c r="D20" s="53" t="str">
        <x:v>P1</x:v>
      </x:c>
      <x:c r="E20" s="53" t="str">
        <x:v>Development + production smoke</x:v>
      </x:c>
      <x:c r="F20" s="53" t="str">
        <x:v>Mobile</x:v>
      </x:c>
      <x:c r="G20" s="53" t="str">
        <x:v>Menu open</x:v>
      </x:c>
      <x:c r="H20" s="53" t="str">
        <x:v>Check Home, About, Shop, Recipes, Contact, Cart, Search, Order Now, Account/Logout.</x:v>
      </x:c>
      <x:c r="I20" s="53" t="str">
        <x:v>Items are readable, tappable, correctly ordered, and route correctly.</x:v>
      </x:c>
      <x:c r="J20" s="53" t="str">
        <x:v>Not Run</x:v>
      </x:c>
      <x:c r="K20" s="53" t="str"/>
      <x:c r="L20" s="53" t="str">
        <x:v>N/A</x:v>
      </x:c>
      <x:c r="M20" s="53" t="str"/>
      <x:c r="N20" s="53" t="str"/>
      <x:c r="O20" s="54" t="str"/>
      <x:c r="P20" s="53" t="str"/>
    </x:row>
    <x:row r="21" ht="50" customHeight="1">
      <x:c r="A21" s="53" t="str">
        <x:v>NAV-006</x:v>
      </x:c>
      <x:c r="B21" s="53" t="str">
        <x:v>Public pages &amp; navigation</x:v>
      </x:c>
      <x:c r="C21" s="53" t="str">
        <x:v>Search from header</x:v>
      </x:c>
      <x:c r="D21" s="53" t="str">
        <x:v>P1</x:v>
      </x:c>
      <x:c r="E21" s="53" t="str">
        <x:v>Development + production smoke</x:v>
      </x:c>
      <x:c r="F21" s="53" t="str">
        <x:v>Desktop + mobile</x:v>
      </x:c>
      <x:c r="G21" s="53" t="str">
        <x:v>Products available</x:v>
      </x:c>
      <x:c r="H21" s="53" t="str">
        <x:v>Search a full product name, partial name, and no-match term.</x:v>
      </x:c>
      <x:c r="I21" s="53" t="str">
        <x:v>Relevant shop results appear; no-match state is helpful and reversible.</x:v>
      </x:c>
      <x:c r="J21" s="53" t="str">
        <x:v>Not Run</x:v>
      </x:c>
      <x:c r="K21" s="53" t="str"/>
      <x:c r="L21" s="53" t="str">
        <x:v>N/A</x:v>
      </x:c>
      <x:c r="M21" s="53" t="str"/>
      <x:c r="N21" s="53" t="str"/>
      <x:c r="O21" s="54" t="str"/>
      <x:c r="P21" s="53" t="str"/>
    </x:row>
    <x:row r="22" ht="50" customHeight="1">
      <x:c r="A22" s="53" t="str">
        <x:v>NAV-007</x:v>
      </x:c>
      <x:c r="B22" s="53" t="str">
        <x:v>Public pages &amp; navigation</x:v>
      </x:c>
      <x:c r="C22" s="53" t="str">
        <x:v>Cart count consistency</x:v>
      </x:c>
      <x:c r="D22" s="53" t="str">
        <x:v>P0</x:v>
      </x:c>
      <x:c r="E22" s="53" t="str">
        <x:v>Development + production smoke</x:v>
      </x:c>
      <x:c r="F22" s="53" t="str">
        <x:v>Desktop + mobile</x:v>
      </x:c>
      <x:c r="G22" s="53" t="str">
        <x:v>Cart starts empty</x:v>
      </x:c>
      <x:c r="H22" s="53" t="str">
        <x:v>Add, increment, decrement, remove products; navigate between pages.</x:v>
      </x:c>
      <x:c r="I22" s="53" t="str">
        <x:v>Header and floating cart counts always equal cart quantity.</x:v>
      </x:c>
      <x:c r="J22" s="53" t="str">
        <x:v>Not Run</x:v>
      </x:c>
      <x:c r="K22" s="53" t="str"/>
      <x:c r="L22" s="53" t="str">
        <x:v>N/A</x:v>
      </x:c>
      <x:c r="M22" s="53" t="str"/>
      <x:c r="N22" s="53" t="str"/>
      <x:c r="O22" s="54" t="str"/>
      <x:c r="P22" s="53" t="str"/>
    </x:row>
    <x:row r="23" ht="50" customHeight="1">
      <x:c r="A23" s="53" t="str">
        <x:v>NAV-008</x:v>
      </x:c>
      <x:c r="B23" s="53" t="str">
        <x:v>Public pages &amp; navigation</x:v>
      </x:c>
      <x:c r="C23" s="53" t="str">
        <x:v>Announcement bar</x:v>
      </x:c>
      <x:c r="D23" s="53" t="str">
        <x:v>P2</x:v>
      </x:c>
      <x:c r="E23" s="53" t="str">
        <x:v>Development + production smoke</x:v>
      </x:c>
      <x:c r="F23" s="53" t="str">
        <x:v>Desktop + mobile</x:v>
      </x:c>
      <x:c r="G23" s="53" t="str">
        <x:v>Page loaded</x:v>
      </x:c>
      <x:c r="H23" s="53" t="str">
        <x:v>Review shipping/mango message for wrapping, accuracy, and link behavior.</x:v>
      </x:c>
      <x:c r="I23" s="53" t="str">
        <x:v>Message is readable, current, and does not push or cover the header.</x:v>
      </x:c>
      <x:c r="J23" s="53" t="str">
        <x:v>Not Run</x:v>
      </x:c>
      <x:c r="K23" s="53" t="str"/>
      <x:c r="L23" s="53" t="str">
        <x:v>N/A</x:v>
      </x:c>
      <x:c r="M23" s="53" t="str"/>
      <x:c r="N23" s="53" t="str"/>
      <x:c r="O23" s="54" t="str"/>
      <x:c r="P23" s="53" t="str"/>
    </x:row>
    <x:row r="24" ht="50" customHeight="1">
      <x:c r="A24" s="53" t="str">
        <x:v>NAV-009</x:v>
      </x:c>
      <x:c r="B24" s="53" t="str">
        <x:v>Public pages &amp; navigation</x:v>
      </x:c>
      <x:c r="C24" s="53" t="str">
        <x:v>Footer links</x:v>
      </x:c>
      <x:c r="D24" s="53" t="str">
        <x:v>P1</x:v>
      </x:c>
      <x:c r="E24" s="53" t="str">
        <x:v>Development + production smoke</x:v>
      </x:c>
      <x:c r="F24" s="53" t="str">
        <x:v>Desktop + mobile</x:v>
      </x:c>
      <x:c r="G24" s="53" t="str">
        <x:v>Page loaded</x:v>
      </x:c>
      <x:c r="H24" s="53" t="str">
        <x:v>Open all legal, contact, WhatsApp, Instagram, and policy links.</x:v>
      </x:c>
      <x:c r="I24" s="53" t="str">
        <x:v>Links are correct, safe, and do not produce 404s.</x:v>
      </x:c>
      <x:c r="J24" s="53" t="str">
        <x:v>Not Run</x:v>
      </x:c>
      <x:c r="K24" s="53" t="str"/>
      <x:c r="L24" s="53" t="str">
        <x:v>N/A</x:v>
      </x:c>
      <x:c r="M24" s="53" t="str"/>
      <x:c r="N24" s="53" t="str"/>
      <x:c r="O24" s="54" t="str"/>
      <x:c r="P24" s="53" t="str"/>
    </x:row>
    <x:row r="25" ht="50" customHeight="1">
      <x:c r="A25" s="53" t="str">
        <x:v>NAV-010</x:v>
      </x:c>
      <x:c r="B25" s="53" t="str">
        <x:v>Public pages &amp; navigation</x:v>
      </x:c>
      <x:c r="C25" s="53" t="str">
        <x:v>Back/forward browser navigation</x:v>
      </x:c>
      <x:c r="D25" s="53" t="str">
        <x:v>P1</x:v>
      </x:c>
      <x:c r="E25" s="53" t="str">
        <x:v>Development + production smoke</x:v>
      </x:c>
      <x:c r="F25" s="53" t="str">
        <x:v>Desktop + mobile</x:v>
      </x:c>
      <x:c r="G25" s="53" t="str">
        <x:v>Navigate across three pages</x:v>
      </x:c>
      <x:c r="H25" s="53" t="str">
        <x:v>Use browser back/forward repeatedly after filters and modal use.</x:v>
      </x:c>
      <x:c r="I25" s="53" t="str">
        <x:v>Expected page state is restored without stale overlays or errors.</x:v>
      </x:c>
      <x:c r="J25" s="53" t="str">
        <x:v>Not Run</x:v>
      </x:c>
      <x:c r="K25" s="53" t="str"/>
      <x:c r="L25" s="53" t="str">
        <x:v>N/A</x:v>
      </x:c>
      <x:c r="M25" s="53" t="str"/>
      <x:c r="N25" s="53" t="str"/>
      <x:c r="O25" s="54" t="str"/>
      <x:c r="P25" s="53" t="str"/>
    </x:row>
    <x:row r="26" ht="50" customHeight="1">
      <x:c r="A26" s="53" t="str">
        <x:v>HOM-001</x:v>
      </x:c>
      <x:c r="B26" s="53" t="str">
        <x:v>Homepage</x:v>
      </x:c>
      <x:c r="C26" s="53" t="str">
        <x:v>First hero slide</x:v>
      </x:c>
      <x:c r="D26" s="53" t="str">
        <x:v>P1</x:v>
      </x:c>
      <x:c r="E26" s="53" t="str">
        <x:v>Development + production smoke</x:v>
      </x:c>
      <x:c r="F26" s="53" t="str">
        <x:v>Desktop + mobile</x:v>
      </x:c>
      <x:c r="G26" s="53" t="str">
        <x:v>Fresh session</x:v>
      </x:c>
      <x:c r="H26" s="53" t="str">
        <x:v>Open homepage and observe first slide.</x:v>
      </x:c>
      <x:c r="I26" s="53" t="str">
        <x:v>Pickles are the entrance slide with matching image, copy, and CTA.</x:v>
      </x:c>
      <x:c r="J26" s="53" t="str">
        <x:v>Not Run</x:v>
      </x:c>
      <x:c r="K26" s="53" t="str"/>
      <x:c r="L26" s="53" t="str">
        <x:v>N/A</x:v>
      </x:c>
      <x:c r="M26" s="53" t="str"/>
      <x:c r="N26" s="53" t="str"/>
      <x:c r="O26" s="54" t="str"/>
      <x:c r="P26" s="53" t="str"/>
    </x:row>
    <x:row r="27" ht="50" customHeight="1">
      <x:c r="A27" s="53" t="str">
        <x:v>HOM-002</x:v>
      </x:c>
      <x:c r="B27" s="53" t="str">
        <x:v>Homepage</x:v>
      </x:c>
      <x:c r="C27" s="53" t="str">
        <x:v>Hero slide order</x:v>
      </x:c>
      <x:c r="D27" s="53" t="str">
        <x:v>P1</x:v>
      </x:c>
      <x:c r="E27" s="53" t="str">
        <x:v>Development + production smoke</x:v>
      </x:c>
      <x:c r="F27" s="53" t="str">
        <x:v>Desktop + mobile</x:v>
      </x:c>
      <x:c r="G27" s="53" t="str">
        <x:v>Homepage open</x:v>
      </x:c>
      <x:c r="H27" s="53" t="str">
        <x:v>Observe a full cycle.</x:v>
      </x:c>
      <x:c r="I27" s="53" t="str">
        <x:v>Slides progress Pickles, Podi, Mangoes, Tathi Thandra in approved order.</x:v>
      </x:c>
      <x:c r="J27" s="53" t="str">
        <x:v>Not Run</x:v>
      </x:c>
      <x:c r="K27" s="53" t="str"/>
      <x:c r="L27" s="53" t="str">
        <x:v>N/A</x:v>
      </x:c>
      <x:c r="M27" s="53" t="str"/>
      <x:c r="N27" s="53" t="str"/>
      <x:c r="O27" s="54" t="str"/>
      <x:c r="P27" s="53" t="str"/>
    </x:row>
    <x:row r="28" ht="50" customHeight="1">
      <x:c r="A28" s="53" t="str">
        <x:v>HOM-003</x:v>
      </x:c>
      <x:c r="B28" s="53" t="str">
        <x:v>Homepage</x:v>
      </x:c>
      <x:c r="C28" s="53" t="str">
        <x:v>Hero timing</x:v>
      </x:c>
      <x:c r="D28" s="53" t="str">
        <x:v>P2</x:v>
      </x:c>
      <x:c r="E28" s="53" t="str">
        <x:v>Development + production smoke</x:v>
      </x:c>
      <x:c r="F28" s="53" t="str">
        <x:v>Desktop + mobile</x:v>
      </x:c>
      <x:c r="G28" s="53" t="str">
        <x:v>Homepage open</x:v>
      </x:c>
      <x:c r="H28" s="53" t="str">
        <x:v>Time two automatic transitions.</x:v>
      </x:c>
      <x:c r="I28" s="53" t="str">
        <x:v>Each slide remains visible about 6 seconds and is readable.</x:v>
      </x:c>
      <x:c r="J28" s="53" t="str">
        <x:v>Not Run</x:v>
      </x:c>
      <x:c r="K28" s="53" t="str"/>
      <x:c r="L28" s="53" t="str">
        <x:v>N/A</x:v>
      </x:c>
      <x:c r="M28" s="53" t="str"/>
      <x:c r="N28" s="53" t="str"/>
      <x:c r="O28" s="54" t="str"/>
      <x:c r="P28" s="53" t="str"/>
    </x:row>
    <x:row r="29" ht="50" customHeight="1">
      <x:c r="A29" s="53" t="str">
        <x:v>HOM-004</x:v>
      </x:c>
      <x:c r="B29" s="53" t="str">
        <x:v>Homepage</x:v>
      </x:c>
      <x:c r="C29" s="53" t="str">
        <x:v>Hero content synchronization</x:v>
      </x:c>
      <x:c r="D29" s="53" t="str">
        <x:v>P0</x:v>
      </x:c>
      <x:c r="E29" s="53" t="str">
        <x:v>Development + production smoke</x:v>
      </x:c>
      <x:c r="F29" s="53" t="str">
        <x:v>Desktop + mobile</x:v>
      </x:c>
      <x:c r="G29" s="53" t="str">
        <x:v>Homepage open</x:v>
      </x:c>
      <x:c r="H29" s="53" t="str">
        <x:v>Observe every slide image, eyebrow, heading, body, and buttons.</x:v>
      </x:c>
      <x:c r="I29" s="53" t="str">
        <x:v>Image and text always describe the same product group.</x:v>
      </x:c>
      <x:c r="J29" s="53" t="str">
        <x:v>Not Run</x:v>
      </x:c>
      <x:c r="K29" s="53" t="str"/>
      <x:c r="L29" s="53" t="str">
        <x:v>N/A</x:v>
      </x:c>
      <x:c r="M29" s="53" t="str"/>
      <x:c r="N29" s="53" t="str"/>
      <x:c r="O29" s="54" t="str"/>
      <x:c r="P29" s="53" t="str"/>
    </x:row>
    <x:row r="30" ht="50" customHeight="1">
      <x:c r="A30" s="53" t="str">
        <x:v>HOM-005</x:v>
      </x:c>
      <x:c r="B30" s="53" t="str">
        <x:v>Homepage</x:v>
      </x:c>
      <x:c r="C30" s="53" t="str">
        <x:v>Hero previous/next controls</x:v>
      </x:c>
      <x:c r="D30" s="53" t="str">
        <x:v>P1</x:v>
      </x:c>
      <x:c r="E30" s="53" t="str">
        <x:v>Development + production smoke</x:v>
      </x:c>
      <x:c r="F30" s="53" t="str">
        <x:v>Desktop + mobile</x:v>
      </x:c>
      <x:c r="G30" s="53" t="str">
        <x:v>Homepage open</x:v>
      </x:c>
      <x:c r="H30" s="53" t="str">
        <x:v>Click/tap previous and next several times.</x:v>
      </x:c>
      <x:c r="I30" s="53" t="str">
        <x:v>Controls move exactly one slide and wrap correctly.</x:v>
      </x:c>
      <x:c r="J30" s="53" t="str">
        <x:v>Not Run</x:v>
      </x:c>
      <x:c r="K30" s="53" t="str"/>
      <x:c r="L30" s="53" t="str">
        <x:v>N/A</x:v>
      </x:c>
      <x:c r="M30" s="53" t="str"/>
      <x:c r="N30" s="53" t="str"/>
      <x:c r="O30" s="54" t="str"/>
      <x:c r="P30" s="53" t="str"/>
    </x:row>
    <x:row r="31" ht="50" customHeight="1">
      <x:c r="A31" s="53" t="str">
        <x:v>HOM-006</x:v>
      </x:c>
      <x:c r="B31" s="53" t="str">
        <x:v>Homepage</x:v>
      </x:c>
      <x:c r="C31" s="53" t="str">
        <x:v>Hero dots</x:v>
      </x:c>
      <x:c r="D31" s="53" t="str">
        <x:v>P2</x:v>
      </x:c>
      <x:c r="E31" s="53" t="str">
        <x:v>Development + production smoke</x:v>
      </x:c>
      <x:c r="F31" s="53" t="str">
        <x:v>Desktop + mobile</x:v>
      </x:c>
      <x:c r="G31" s="53" t="str">
        <x:v>Homepage open</x:v>
      </x:c>
      <x:c r="H31" s="53" t="str">
        <x:v>Select each dot and observe active state.</x:v>
      </x:c>
      <x:c r="I31" s="53" t="str">
        <x:v>Correct slide opens and active indicator updates.</x:v>
      </x:c>
      <x:c r="J31" s="53" t="str">
        <x:v>Not Run</x:v>
      </x:c>
      <x:c r="K31" s="53" t="str"/>
      <x:c r="L31" s="53" t="str">
        <x:v>N/A</x:v>
      </x:c>
      <x:c r="M31" s="53" t="str"/>
      <x:c r="N31" s="53" t="str"/>
      <x:c r="O31" s="54" t="str"/>
      <x:c r="P31" s="53" t="str"/>
    </x:row>
    <x:row r="32" ht="50" customHeight="1">
      <x:c r="A32" s="53" t="str">
        <x:v>HOM-007</x:v>
      </x:c>
      <x:c r="B32" s="53" t="str">
        <x:v>Homepage</x:v>
      </x:c>
      <x:c r="C32" s="53" t="str">
        <x:v>Hero pause during interaction</x:v>
      </x:c>
      <x:c r="D32" s="53" t="str">
        <x:v>P2</x:v>
      </x:c>
      <x:c r="E32" s="53" t="str">
        <x:v>Development + production smoke</x:v>
      </x:c>
      <x:c r="F32" s="53" t="str">
        <x:v>Desktop + mobile</x:v>
      </x:c>
      <x:c r="G32" s="53" t="str">
        <x:v>Homepage open</x:v>
      </x:c>
      <x:c r="H32" s="53" t="str">
        <x:v>Hover/focus or interact with slide controls and CTA.</x:v>
      </x:c>
      <x:c r="I32" s="53" t="str">
        <x:v>Autoplay does not steal the slide while customer is interacting.</x:v>
      </x:c>
      <x:c r="J32" s="53" t="str">
        <x:v>Not Run</x:v>
      </x:c>
      <x:c r="K32" s="53" t="str"/>
      <x:c r="L32" s="53" t="str">
        <x:v>N/A</x:v>
      </x:c>
      <x:c r="M32" s="53" t="str"/>
      <x:c r="N32" s="53" t="str"/>
      <x:c r="O32" s="54" t="str"/>
      <x:c r="P32" s="53" t="str"/>
    </x:row>
    <x:row r="33" ht="50" customHeight="1">
      <x:c r="A33" s="53" t="str">
        <x:v>HOM-008</x:v>
      </x:c>
      <x:c r="B33" s="53" t="str">
        <x:v>Homepage</x:v>
      </x:c>
      <x:c r="C33" s="53" t="str">
        <x:v>Hero category CTAs</x:v>
      </x:c>
      <x:c r="D33" s="53" t="str">
        <x:v>P0</x:v>
      </x:c>
      <x:c r="E33" s="53" t="str">
        <x:v>Development + production smoke</x:v>
      </x:c>
      <x:c r="F33" s="53" t="str">
        <x:v>Desktop + mobile</x:v>
      </x:c>
      <x:c r="G33" s="53" t="str">
        <x:v>Homepage open</x:v>
      </x:c>
      <x:c r="H33" s="53" t="str">
        <x:v>Click each Order/Shop CTA.</x:v>
      </x:c>
      <x:c r="I33" s="53" t="str">
        <x:v>Shop opens with the intended Pickle, Podi, Mango, or Tathi Thandra context.</x:v>
      </x:c>
      <x:c r="J33" s="53" t="str">
        <x:v>Not Run</x:v>
      </x:c>
      <x:c r="K33" s="53" t="str"/>
      <x:c r="L33" s="53" t="str">
        <x:v>N/A</x:v>
      </x:c>
      <x:c r="M33" s="53" t="str"/>
      <x:c r="N33" s="53" t="str"/>
      <x:c r="O33" s="54" t="str"/>
      <x:c r="P33" s="53" t="str"/>
    </x:row>
    <x:row r="34" ht="50" customHeight="1">
      <x:c r="A34" s="53" t="str">
        <x:v>HOM-009</x:v>
      </x:c>
      <x:c r="B34" s="53" t="str">
        <x:v>Homepage</x:v>
      </x:c>
      <x:c r="C34" s="53" t="str">
        <x:v>Hero responsive framing</x:v>
      </x:c>
      <x:c r="D34" s="53" t="str">
        <x:v>P1</x:v>
      </x:c>
      <x:c r="E34" s="53" t="str">
        <x:v>Development + production smoke</x:v>
      </x:c>
      <x:c r="F34" s="53" t="str">
        <x:v>Mobile + tablet + desktop</x:v>
      </x:c>
      <x:c r="G34" s="53" t="str">
        <x:v>Homepage open</x:v>
      </x:c>
      <x:c r="H34" s="53" t="str">
        <x:v>Review images and text at standard viewport sizes.</x:v>
      </x:c>
      <x:c r="I34" s="53" t="str">
        <x:v>Product remains inspectable; headline/buttons fit; next content is hinted without overlap.</x:v>
      </x:c>
      <x:c r="J34" s="53" t="str">
        <x:v>Not Run</x:v>
      </x:c>
      <x:c r="K34" s="53" t="str"/>
      <x:c r="L34" s="53" t="str">
        <x:v>N/A</x:v>
      </x:c>
      <x:c r="M34" s="53" t="str"/>
      <x:c r="N34" s="53" t="str"/>
      <x:c r="O34" s="54" t="str"/>
      <x:c r="P34" s="53" t="str"/>
    </x:row>
    <x:row r="35" ht="50" customHeight="1">
      <x:c r="A35" s="53" t="str">
        <x:v>HOM-010</x:v>
      </x:c>
      <x:c r="B35" s="53" t="str">
        <x:v>Homepage</x:v>
      </x:c>
      <x:c r="C35" s="53" t="str">
        <x:v>Chat/cart overlay spacing</x:v>
      </x:c>
      <x:c r="D35" s="53" t="str">
        <x:v>P1</x:v>
      </x:c>
      <x:c r="E35" s="53" t="str">
        <x:v>Development + production smoke</x:v>
      </x:c>
      <x:c r="F35" s="53" t="str">
        <x:v>Desktop + mobile</x:v>
      </x:c>
      <x:c r="G35" s="53" t="str">
        <x:v>Widgets visible</x:v>
      </x:c>
      <x:c r="H35" s="53" t="str">
        <x:v>Open chat and scroll through hero and first section.</x:v>
      </x:c>
      <x:c r="I35" s="53" t="str">
        <x:v>Chat and cart controls never cover hero CTAs, arrows, or important text.</x:v>
      </x:c>
      <x:c r="J35" s="53" t="str">
        <x:v>Not Run</x:v>
      </x:c>
      <x:c r="K35" s="53" t="str"/>
      <x:c r="L35" s="53" t="str">
        <x:v>N/A</x:v>
      </x:c>
      <x:c r="M35" s="53" t="str"/>
      <x:c r="N35" s="53" t="str"/>
      <x:c r="O35" s="54" t="str"/>
      <x:c r="P35" s="53" t="str"/>
    </x:row>
    <x:row r="36" ht="50" customHeight="1">
      <x:c r="A36" s="53" t="str">
        <x:v>SHP-001</x:v>
      </x:c>
      <x:c r="B36" s="53" t="str">
        <x:v>Shop &amp; catalog</x:v>
      </x:c>
      <x:c r="C36" s="53" t="str">
        <x:v>Category hierarchy</x:v>
      </x:c>
      <x:c r="D36" s="53" t="str">
        <x:v>P0</x:v>
      </x:c>
      <x:c r="E36" s="53" t="str">
        <x:v>Development + production smoke</x:v>
      </x:c>
      <x:c r="F36" s="53" t="str">
        <x:v>Desktop + mobile</x:v>
      </x:c>
      <x:c r="G36" s="53" t="str">
        <x:v>Catalog loaded</x:v>
      </x:c>
      <x:c r="H36" s="53" t="str">
        <x:v>Review filters for All Products, Sweets, Pickles, Podi, Snacks, Mangoes and veg/non-veg subfilters where applicable.</x:v>
      </x:c>
      <x:c r="I36" s="53" t="str">
        <x:v>Categories are logically grouped, aligned, and easy to scan.</x:v>
      </x:c>
      <x:c r="J36" s="53" t="str">
        <x:v>Not Run</x:v>
      </x:c>
      <x:c r="K36" s="53" t="str"/>
      <x:c r="L36" s="53" t="str">
        <x:v>N/A</x:v>
      </x:c>
      <x:c r="M36" s="53" t="str"/>
      <x:c r="N36" s="53" t="str"/>
      <x:c r="O36" s="54" t="str"/>
      <x:c r="P36" s="53" t="str"/>
    </x:row>
    <x:row r="37" ht="50" customHeight="1">
      <x:c r="A37" s="53" t="str">
        <x:v>SHP-002</x:v>
      </x:c>
      <x:c r="B37" s="53" t="str">
        <x:v>Shop &amp; catalog</x:v>
      </x:c>
      <x:c r="C37" s="53" t="str">
        <x:v>Category counts</x:v>
      </x:c>
      <x:c r="D37" s="53" t="str">
        <x:v>P1</x:v>
      </x:c>
      <x:c r="E37" s="53" t="str">
        <x:v>Development + production smoke</x:v>
      </x:c>
      <x:c r="F37" s="53" t="str">
        <x:v>Desktop + mobile</x:v>
      </x:c>
      <x:c r="G37" s="53" t="str">
        <x:v>Catalog loaded</x:v>
      </x:c>
      <x:c r="H37" s="53" t="str">
        <x:v>Compare displayed counts with visible products after each filter.</x:v>
      </x:c>
      <x:c r="I37" s="53" t="str">
        <x:v>Counts equal the number of matching catalog products.</x:v>
      </x:c>
      <x:c r="J37" s="53" t="str">
        <x:v>Not Run</x:v>
      </x:c>
      <x:c r="K37" s="53" t="str"/>
      <x:c r="L37" s="53" t="str">
        <x:v>N/A</x:v>
      </x:c>
      <x:c r="M37" s="53" t="str"/>
      <x:c r="N37" s="53" t="str"/>
      <x:c r="O37" s="54" t="str"/>
      <x:c r="P37" s="53" t="str"/>
    </x:row>
    <x:row r="38" ht="50" customHeight="1">
      <x:c r="A38" s="53" t="str">
        <x:v>SHP-003</x:v>
      </x:c>
      <x:c r="B38" s="53" t="str">
        <x:v>Shop &amp; catalog</x:v>
      </x:c>
      <x:c r="C38" s="53" t="str">
        <x:v>All Products filter</x:v>
      </x:c>
      <x:c r="D38" s="53" t="str">
        <x:v>P0</x:v>
      </x:c>
      <x:c r="E38" s="53" t="str">
        <x:v>Development + production smoke</x:v>
      </x:c>
      <x:c r="F38" s="53" t="str">
        <x:v>Desktop + mobile</x:v>
      </x:c>
      <x:c r="G38" s="53" t="str">
        <x:v>Catalog loaded</x:v>
      </x:c>
      <x:c r="H38" s="53" t="str">
        <x:v>Select All Products after using another filter.</x:v>
      </x:c>
      <x:c r="I38" s="53" t="str">
        <x:v>All eligible products return and active state updates.</x:v>
      </x:c>
      <x:c r="J38" s="53" t="str">
        <x:v>Not Run</x:v>
      </x:c>
      <x:c r="K38" s="53" t="str"/>
      <x:c r="L38" s="53" t="str">
        <x:v>N/A</x:v>
      </x:c>
      <x:c r="M38" s="53" t="str"/>
      <x:c r="N38" s="53" t="str"/>
      <x:c r="O38" s="54" t="str"/>
      <x:c r="P38" s="53" t="str"/>
    </x:row>
    <x:row r="39" ht="50" customHeight="1">
      <x:c r="A39" s="53" t="str">
        <x:v>SHP-004</x:v>
      </x:c>
      <x:c r="B39" s="53" t="str">
        <x:v>Shop &amp; catalog</x:v>
      </x:c>
      <x:c r="C39" s="53" t="str">
        <x:v>Sweets filter</x:v>
      </x:c>
      <x:c r="D39" s="53" t="str">
        <x:v>P1</x:v>
      </x:c>
      <x:c r="E39" s="53" t="str">
        <x:v>Development + production smoke</x:v>
      </x:c>
      <x:c r="F39" s="53" t="str">
        <x:v>Desktop + mobile</x:v>
      </x:c>
      <x:c r="G39" s="53" t="str">
        <x:v>Catalog loaded</x:v>
      </x:c>
      <x:c r="H39" s="53" t="str">
        <x:v>Select Sweets and any available subfilters.</x:v>
      </x:c>
      <x:c r="I39" s="53" t="str">
        <x:v>Only sweets display; unrelated products are excluded.</x:v>
      </x:c>
      <x:c r="J39" s="53" t="str">
        <x:v>Not Run</x:v>
      </x:c>
      <x:c r="K39" s="53" t="str"/>
      <x:c r="L39" s="53" t="str">
        <x:v>N/A</x:v>
      </x:c>
      <x:c r="M39" s="53" t="str"/>
      <x:c r="N39" s="53" t="str"/>
      <x:c r="O39" s="54" t="str"/>
      <x:c r="P39" s="53" t="str"/>
    </x:row>
    <x:row r="40" ht="50" customHeight="1">
      <x:c r="A40" s="53" t="str">
        <x:v>SHP-005</x:v>
      </x:c>
      <x:c r="B40" s="53" t="str">
        <x:v>Shop &amp; catalog</x:v>
      </x:c>
      <x:c r="C40" s="53" t="str">
        <x:v>Veg pickles filter</x:v>
      </x:c>
      <x:c r="D40" s="53" t="str">
        <x:v>P1</x:v>
      </x:c>
      <x:c r="E40" s="53" t="str">
        <x:v>Development + production smoke</x:v>
      </x:c>
      <x:c r="F40" s="53" t="str">
        <x:v>Desktop + mobile</x:v>
      </x:c>
      <x:c r="G40" s="53" t="str">
        <x:v>Catalog loaded</x:v>
      </x:c>
      <x:c r="H40" s="53" t="str">
        <x:v>Select Pickles then Veg.</x:v>
      </x:c>
      <x:c r="I40" s="53" t="str">
        <x:v>Only vegetarian pickles display.</x:v>
      </x:c>
      <x:c r="J40" s="53" t="str">
        <x:v>Not Run</x:v>
      </x:c>
      <x:c r="K40" s="53" t="str"/>
      <x:c r="L40" s="53" t="str">
        <x:v>N/A</x:v>
      </x:c>
      <x:c r="M40" s="53" t="str"/>
      <x:c r="N40" s="53" t="str"/>
      <x:c r="O40" s="54" t="str"/>
      <x:c r="P40" s="53" t="str"/>
    </x:row>
    <x:row r="41" ht="50" customHeight="1">
      <x:c r="A41" s="53" t="str">
        <x:v>SHP-006</x:v>
      </x:c>
      <x:c r="B41" s="53" t="str">
        <x:v>Shop &amp; catalog</x:v>
      </x:c>
      <x:c r="C41" s="53" t="str">
        <x:v>Non-veg pickles filter</x:v>
      </x:c>
      <x:c r="D41" s="53" t="str">
        <x:v>P1</x:v>
      </x:c>
      <x:c r="E41" s="53" t="str">
        <x:v>Development + production smoke</x:v>
      </x:c>
      <x:c r="F41" s="53" t="str">
        <x:v>Desktop + mobile</x:v>
      </x:c>
      <x:c r="G41" s="53" t="str">
        <x:v>Catalog loaded</x:v>
      </x:c>
      <x:c r="H41" s="53" t="str">
        <x:v>Select Pickles then Non-Veg.</x:v>
      </x:c>
      <x:c r="I41" s="53" t="str">
        <x:v>Only non-vegetarian pickles display with preorder messaging where applicable.</x:v>
      </x:c>
      <x:c r="J41" s="53" t="str">
        <x:v>Not Run</x:v>
      </x:c>
      <x:c r="K41" s="53" t="str"/>
      <x:c r="L41" s="53" t="str">
        <x:v>N/A</x:v>
      </x:c>
      <x:c r="M41" s="53" t="str"/>
      <x:c r="N41" s="53" t="str"/>
      <x:c r="O41" s="54" t="str"/>
      <x:c r="P41" s="53" t="str"/>
    </x:row>
    <x:row r="42" ht="50" customHeight="1">
      <x:c r="A42" s="53" t="str">
        <x:v>SHP-007</x:v>
      </x:c>
      <x:c r="B42" s="53" t="str">
        <x:v>Shop &amp; catalog</x:v>
      </x:c>
      <x:c r="C42" s="53" t="str">
        <x:v>Podi filter</x:v>
      </x:c>
      <x:c r="D42" s="53" t="str">
        <x:v>P1</x:v>
      </x:c>
      <x:c r="E42" s="53" t="str">
        <x:v>Development + production smoke</x:v>
      </x:c>
      <x:c r="F42" s="53" t="str">
        <x:v>Desktop + mobile</x:v>
      </x:c>
      <x:c r="G42" s="53" t="str">
        <x:v>Catalog loaded</x:v>
      </x:c>
      <x:c r="H42" s="53" t="str">
        <x:v>Select Podi.</x:v>
      </x:c>
      <x:c r="I42" s="53" t="str">
        <x:v>Only podi/powder products display.</x:v>
      </x:c>
      <x:c r="J42" s="53" t="str">
        <x:v>Not Run</x:v>
      </x:c>
      <x:c r="K42" s="53" t="str"/>
      <x:c r="L42" s="53" t="str">
        <x:v>N/A</x:v>
      </x:c>
      <x:c r="M42" s="53" t="str"/>
      <x:c r="N42" s="53" t="str"/>
      <x:c r="O42" s="54" t="str"/>
      <x:c r="P42" s="53" t="str"/>
    </x:row>
    <x:row r="43" ht="50" customHeight="1">
      <x:c r="A43" s="53" t="str">
        <x:v>SHP-008</x:v>
      </x:c>
      <x:c r="B43" s="53" t="str">
        <x:v>Shop &amp; catalog</x:v>
      </x:c>
      <x:c r="C43" s="53" t="str">
        <x:v>Snacks filter</x:v>
      </x:c>
      <x:c r="D43" s="53" t="str">
        <x:v>P1</x:v>
      </x:c>
      <x:c r="E43" s="53" t="str">
        <x:v>Development + production smoke</x:v>
      </x:c>
      <x:c r="F43" s="53" t="str">
        <x:v>Desktop + mobile</x:v>
      </x:c>
      <x:c r="G43" s="53" t="str">
        <x:v>Catalog loaded</x:v>
      </x:c>
      <x:c r="H43" s="53" t="str">
        <x:v>Select Snacks.</x:v>
      </x:c>
      <x:c r="I43" s="53" t="str">
        <x:v>Only snacks display and zero-state is accurate if none are live.</x:v>
      </x:c>
      <x:c r="J43" s="53" t="str">
        <x:v>Not Run</x:v>
      </x:c>
      <x:c r="K43" s="53" t="str"/>
      <x:c r="L43" s="53" t="str">
        <x:v>N/A</x:v>
      </x:c>
      <x:c r="M43" s="53" t="str"/>
      <x:c r="N43" s="53" t="str"/>
      <x:c r="O43" s="54" t="str"/>
      <x:c r="P43" s="53" t="str"/>
    </x:row>
    <x:row r="44" ht="50" customHeight="1">
      <x:c r="A44" s="53" t="str">
        <x:v>SHP-009</x:v>
      </x:c>
      <x:c r="B44" s="53" t="str">
        <x:v>Shop &amp; catalog</x:v>
      </x:c>
      <x:c r="C44" s="53" t="str">
        <x:v>Mangoes filter</x:v>
      </x:c>
      <x:c r="D44" s="53" t="str">
        <x:v>P0</x:v>
      </x:c>
      <x:c r="E44" s="53" t="str">
        <x:v>Development + production smoke</x:v>
      </x:c>
      <x:c r="F44" s="53" t="str">
        <x:v>Desktop + mobile</x:v>
      </x:c>
      <x:c r="G44" s="53" t="str">
        <x:v>Catalog loaded</x:v>
      </x:c>
      <x:c r="H44" s="53" t="str">
        <x:v>Select Fruits/Mangoes.</x:v>
      </x:c>
      <x:c r="I44" s="53" t="str">
        <x:v>Only mango products display with correct availability.</x:v>
      </x:c>
      <x:c r="J44" s="53" t="str">
        <x:v>Not Run</x:v>
      </x:c>
      <x:c r="K44" s="53" t="str"/>
      <x:c r="L44" s="53" t="str">
        <x:v>N/A</x:v>
      </x:c>
      <x:c r="M44" s="53" t="str"/>
      <x:c r="N44" s="53" t="str"/>
      <x:c r="O44" s="54" t="str"/>
      <x:c r="P44" s="53" t="str"/>
    </x:row>
    <x:row r="45" ht="50" customHeight="1">
      <x:c r="A45" s="53" t="str">
        <x:v>SHP-010</x:v>
      </x:c>
      <x:c r="B45" s="53" t="str">
        <x:v>Shop &amp; catalog</x:v>
      </x:c>
      <x:c r="C45" s="53" t="str">
        <x:v>Filter mouse-wheel behavior</x:v>
      </x:c>
      <x:c r="D45" s="53" t="str">
        <x:v>P1</x:v>
      </x:c>
      <x:c r="E45" s="53" t="str">
        <x:v>Development + production smoke</x:v>
      </x:c>
      <x:c r="F45" s="53" t="str">
        <x:v>Desktop</x:v>
      </x:c>
      <x:c r="G45" s="53" t="str">
        <x:v>Long product list</x:v>
      </x:c>
      <x:c r="H45" s="53" t="str">
        <x:v>Place pointer over category sidebar and use mouse wheel.</x:v>
      </x:c>
      <x:c r="I45" s="53" t="str">
        <x:v>The page scrolls normally; the sidebar does not trap scrolling.</x:v>
      </x:c>
      <x:c r="J45" s="53" t="str">
        <x:v>Not Run</x:v>
      </x:c>
      <x:c r="K45" s="53" t="str"/>
      <x:c r="L45" s="53" t="str">
        <x:v>N/A</x:v>
      </x:c>
      <x:c r="M45" s="53" t="str"/>
      <x:c r="N45" s="53" t="str"/>
      <x:c r="O45" s="54" t="str"/>
      <x:c r="P45" s="53" t="str"/>
    </x:row>
    <x:row r="46" ht="50" customHeight="1">
      <x:c r="A46" s="53" t="str">
        <x:v>SHP-011</x:v>
      </x:c>
      <x:c r="B46" s="53" t="str">
        <x:v>Shop &amp; catalog</x:v>
      </x:c>
      <x:c r="C46" s="53" t="str">
        <x:v>Price filter</x:v>
      </x:c>
      <x:c r="D46" s="53" t="str">
        <x:v>P2</x:v>
      </x:c>
      <x:c r="E46" s="53" t="str">
        <x:v>Development + production smoke</x:v>
      </x:c>
      <x:c r="F46" s="53" t="str">
        <x:v>Desktop + mobile</x:v>
      </x:c>
      <x:c r="G46" s="53" t="str">
        <x:v>Catalog loaded</x:v>
      </x:c>
      <x:c r="H46" s="53" t="str">
        <x:v>Set minimum/maximum boundaries and clear them.</x:v>
      </x:c>
      <x:c r="I46" s="53" t="str">
        <x:v>Only products in range display and clearing restores results.</x:v>
      </x:c>
      <x:c r="J46" s="53" t="str">
        <x:v>Not Run</x:v>
      </x:c>
      <x:c r="K46" s="53" t="str"/>
      <x:c r="L46" s="53" t="str">
        <x:v>N/A</x:v>
      </x:c>
      <x:c r="M46" s="53" t="str"/>
      <x:c r="N46" s="53" t="str"/>
      <x:c r="O46" s="54" t="str"/>
      <x:c r="P46" s="53" t="str"/>
    </x:row>
    <x:row r="47" ht="50" customHeight="1">
      <x:c r="A47" s="53" t="str">
        <x:v>SHP-012</x:v>
      </x:c>
      <x:c r="B47" s="53" t="str">
        <x:v>Shop &amp; catalog</x:v>
      </x:c>
      <x:c r="C47" s="53" t="str">
        <x:v>Sort options</x:v>
      </x:c>
      <x:c r="D47" s="53" t="str">
        <x:v>P2</x:v>
      </x:c>
      <x:c r="E47" s="53" t="str">
        <x:v>Development + production smoke</x:v>
      </x:c>
      <x:c r="F47" s="53" t="str">
        <x:v>Desktop + mobile</x:v>
      </x:c>
      <x:c r="G47" s="53" t="str">
        <x:v>Catalog loaded</x:v>
      </x:c>
      <x:c r="H47" s="53" t="str">
        <x:v>Test Featured, price low/high, and name sorting if available.</x:v>
      </x:c>
      <x:c r="I47" s="53" t="str">
        <x:v>Ordering is correct and active filters remain applied.</x:v>
      </x:c>
      <x:c r="J47" s="53" t="str">
        <x:v>Not Run</x:v>
      </x:c>
      <x:c r="K47" s="53" t="str"/>
      <x:c r="L47" s="53" t="str">
        <x:v>N/A</x:v>
      </x:c>
      <x:c r="M47" s="53" t="str"/>
      <x:c r="N47" s="53" t="str"/>
      <x:c r="O47" s="54" t="str"/>
      <x:c r="P47" s="53" t="str"/>
    </x:row>
    <x:row r="48" ht="50" customHeight="1">
      <x:c r="A48" s="53" t="str">
        <x:v>SHP-013</x:v>
      </x:c>
      <x:c r="B48" s="53" t="str">
        <x:v>Shop &amp; catalog</x:v>
      </x:c>
      <x:c r="C48" s="53" t="str">
        <x:v>Catalog search</x:v>
      </x:c>
      <x:c r="D48" s="53" t="str">
        <x:v>P0</x:v>
      </x:c>
      <x:c r="E48" s="53" t="str">
        <x:v>Development + production smoke</x:v>
      </x:c>
      <x:c r="F48" s="53" t="str">
        <x:v>Desktop + mobile</x:v>
      </x:c>
      <x:c r="G48" s="53" t="str">
        <x:v>Catalog loaded</x:v>
      </x:c>
      <x:c r="H48" s="53" t="str">
        <x:v>Search English and alternate product names such as podi/powder or prawn/shrimp.</x:v>
      </x:c>
      <x:c r="I48" s="53" t="str">
        <x:v>Expected products are discoverable and result count is correct.</x:v>
      </x:c>
      <x:c r="J48" s="53" t="str">
        <x:v>Not Run</x:v>
      </x:c>
      <x:c r="K48" s="53" t="str"/>
      <x:c r="L48" s="53" t="str">
        <x:v>N/A</x:v>
      </x:c>
      <x:c r="M48" s="53" t="str"/>
      <x:c r="N48" s="53" t="str"/>
      <x:c r="O48" s="54" t="str"/>
      <x:c r="P48" s="53" t="str"/>
    </x:row>
    <x:row r="49" ht="50" customHeight="1">
      <x:c r="A49" s="53" t="str">
        <x:v>SHP-014</x:v>
      </x:c>
      <x:c r="B49" s="53" t="str">
        <x:v>Shop &amp; catalog</x:v>
      </x:c>
      <x:c r="C49" s="53" t="str">
        <x:v>Dense product grid</x:v>
      </x:c>
      <x:c r="D49" s="53" t="str">
        <x:v>P1</x:v>
      </x:c>
      <x:c r="E49" s="53" t="str">
        <x:v>Development + production smoke</x:v>
      </x:c>
      <x:c r="F49" s="53" t="str">
        <x:v>Desktop</x:v>
      </x:c>
      <x:c r="G49" s="53" t="str">
        <x:v>Catalog loaded</x:v>
      </x:c>
      <x:c r="H49" s="53" t="str">
        <x:v>Review card density at 1366, 1440, and 1920 widths.</x:v>
      </x:c>
      <x:c r="I49" s="53" t="str">
        <x:v>Cards are about 30% more compact while text, prices, and buttons remain readable.</x:v>
      </x:c>
      <x:c r="J49" s="53" t="str">
        <x:v>Not Run</x:v>
      </x:c>
      <x:c r="K49" s="53" t="str"/>
      <x:c r="L49" s="53" t="str">
        <x:v>N/A</x:v>
      </x:c>
      <x:c r="M49" s="53" t="str"/>
      <x:c r="N49" s="53" t="str"/>
      <x:c r="O49" s="54" t="str"/>
      <x:c r="P49" s="53" t="str"/>
    </x:row>
    <x:row r="50" ht="50" customHeight="1">
      <x:c r="A50" s="53" t="str">
        <x:v>SHP-015</x:v>
      </x:c>
      <x:c r="B50" s="53" t="str">
        <x:v>Shop &amp; catalog</x:v>
      </x:c>
      <x:c r="C50" s="53" t="str">
        <x:v>Mobile product cards</x:v>
      </x:c>
      <x:c r="D50" s="53" t="str">
        <x:v>P0</x:v>
      </x:c>
      <x:c r="E50" s="53" t="str">
        <x:v>Development + production smoke</x:v>
      </x:c>
      <x:c r="F50" s="53" t="str">
        <x:v>Mobile</x:v>
      </x:c>
      <x:c r="G50" s="53" t="str">
        <x:v>Catalog loaded</x:v>
      </x:c>
      <x:c r="H50" s="53" t="str">
        <x:v>Scroll several card types, including long names and multiple variants.</x:v>
      </x:c>
      <x:c r="I50" s="53" t="str">
        <x:v>No text/button overlap, horizontal scroll, or clipped price.</x:v>
      </x:c>
      <x:c r="J50" s="53" t="str">
        <x:v>Not Run</x:v>
      </x:c>
      <x:c r="K50" s="53" t="str"/>
      <x:c r="L50" s="53" t="str">
        <x:v>N/A</x:v>
      </x:c>
      <x:c r="M50" s="53" t="str"/>
      <x:c r="N50" s="53" t="str"/>
      <x:c r="O50" s="54" t="str"/>
      <x:c r="P50" s="53" t="str"/>
    </x:row>
    <x:row r="51" ht="50" customHeight="1">
      <x:c r="A51" s="53" t="str">
        <x:v>SHP-016</x:v>
      </x:c>
      <x:c r="B51" s="53" t="str">
        <x:v>Shop &amp; catalog</x:v>
      </x:c>
      <x:c r="C51" s="53" t="str">
        <x:v>Availability badges</x:v>
      </x:c>
      <x:c r="D51" s="53" t="str">
        <x:v>P0</x:v>
      </x:c>
      <x:c r="E51" s="53" t="str">
        <x:v>Development + production smoke</x:v>
      </x:c>
      <x:c r="F51" s="53" t="str">
        <x:v>Desktop + mobile</x:v>
      </x:c>
      <x:c r="G51" s="53" t="str">
        <x:v>Live and unavailable products exist</x:v>
      </x:c>
      <x:c r="H51" s="53" t="str">
        <x:v>Inspect Available, Preorder, Coming Soon, and unavailable states.</x:v>
      </x:c>
      <x:c r="I51" s="53" t="str">
        <x:v>Badge, button, and actual purchasability agree.</x:v>
      </x:c>
      <x:c r="J51" s="53" t="str">
        <x:v>Not Run</x:v>
      </x:c>
      <x:c r="K51" s="53" t="str"/>
      <x:c r="L51" s="53" t="str">
        <x:v>N/A</x:v>
      </x:c>
      <x:c r="M51" s="53" t="str"/>
      <x:c r="N51" s="53" t="str"/>
      <x:c r="O51" s="54" t="str"/>
      <x:c r="P51" s="53" t="str"/>
    </x:row>
    <x:row r="52" ht="50" customHeight="1">
      <x:c r="A52" s="53" t="str">
        <x:v>SHP-017</x:v>
      </x:c>
      <x:c r="B52" s="53" t="str">
        <x:v>Shop &amp; catalog</x:v>
      </x:c>
      <x:c r="C52" s="53" t="str">
        <x:v>Notify when available</x:v>
      </x:c>
      <x:c r="D52" s="53" t="str">
        <x:v>P1</x:v>
      </x:c>
      <x:c r="E52" s="53" t="str">
        <x:v>Development</x:v>
      </x:c>
      <x:c r="F52" s="53" t="str">
        <x:v>Desktop + mobile</x:v>
      </x:c>
      <x:c r="G52" s="53" t="str">
        <x:v>Unavailable product</x:v>
      </x:c>
      <x:c r="H52" s="53" t="str">
        <x:v>Request notification with valid and invalid email; repeat request.</x:v>
      </x:c>
      <x:c r="I52" s="53" t="str">
        <x:v>Valid request is saved once; duplicate and invalid submissions are handled clearly.</x:v>
      </x:c>
      <x:c r="J52" s="53" t="str">
        <x:v>Not Run</x:v>
      </x:c>
      <x:c r="K52" s="53" t="str"/>
      <x:c r="L52" s="53" t="str">
        <x:v>N/A</x:v>
      </x:c>
      <x:c r="M52" s="53" t="str"/>
      <x:c r="N52" s="53" t="str"/>
      <x:c r="O52" s="54" t="str"/>
      <x:c r="P52" s="53" t="str"/>
    </x:row>
    <x:row r="53" ht="50" customHeight="1">
      <x:c r="A53" s="53" t="str">
        <x:v>SHP-018</x:v>
      </x:c>
      <x:c r="B53" s="53" t="str">
        <x:v>Shop &amp; catalog</x:v>
      </x:c>
      <x:c r="C53" s="53" t="str">
        <x:v>Product modal</x:v>
      </x:c>
      <x:c r="D53" s="53" t="str">
        <x:v>P0</x:v>
      </x:c>
      <x:c r="E53" s="53" t="str">
        <x:v>Development + production smoke</x:v>
      </x:c>
      <x:c r="F53" s="53" t="str">
        <x:v>Desktop + mobile</x:v>
      </x:c>
      <x:c r="G53" s="53" t="str">
        <x:v>Catalog loaded</x:v>
      </x:c>
      <x:c r="H53" s="53" t="str">
        <x:v>Open Details on products across categories.</x:v>
      </x:c>
      <x:c r="I53" s="53" t="str">
        <x:v>Correct modal opens with title, description, pricing, variants, ingredients, policies, and close controls.</x:v>
      </x:c>
      <x:c r="J53" s="53" t="str">
        <x:v>Not Run</x:v>
      </x:c>
      <x:c r="K53" s="53" t="str"/>
      <x:c r="L53" s="53" t="str">
        <x:v>N/A</x:v>
      </x:c>
      <x:c r="M53" s="53" t="str"/>
      <x:c r="N53" s="53" t="str"/>
      <x:c r="O53" s="54" t="str"/>
      <x:c r="P53" s="53" t="str"/>
    </x:row>
    <x:row r="54" ht="50" customHeight="1">
      <x:c r="A54" s="53" t="str">
        <x:v>SHP-019</x:v>
      </x:c>
      <x:c r="B54" s="53" t="str">
        <x:v>Shop &amp; catalog</x:v>
      </x:c>
      <x:c r="C54" s="53" t="str">
        <x:v>Product gallery</x:v>
      </x:c>
      <x:c r="D54" s="53" t="str">
        <x:v>P0</x:v>
      </x:c>
      <x:c r="E54" s="53" t="str">
        <x:v>Development + production smoke</x:v>
      </x:c>
      <x:c r="F54" s="53" t="str">
        <x:v>Desktop + mobile</x:v>
      </x:c>
      <x:c r="G54" s="53" t="str">
        <x:v>Product with multiple images</x:v>
      </x:c>
      <x:c r="H54" s="53" t="str">
        <x:v>Open modal, click each thumbnail, use keyboard/touch controls.</x:v>
      </x:c>
      <x:c r="I54" s="53" t="str">
        <x:v>Every expected image loads, switches correctly, and stays within the frame.</x:v>
      </x:c>
      <x:c r="J54" s="53" t="str">
        <x:v>Not Run</x:v>
      </x:c>
      <x:c r="K54" s="53" t="str"/>
      <x:c r="L54" s="53" t="str">
        <x:v>N/A</x:v>
      </x:c>
      <x:c r="M54" s="53" t="str"/>
      <x:c r="N54" s="53" t="str"/>
      <x:c r="O54" s="54" t="str"/>
      <x:c r="P54" s="53" t="str"/>
    </x:row>
    <x:row r="55" ht="50" customHeight="1">
      <x:c r="A55" s="53" t="str">
        <x:v>SHP-020</x:v>
      </x:c>
      <x:c r="B55" s="53" t="str">
        <x:v>Shop &amp; catalog</x:v>
      </x:c>
      <x:c r="C55" s="53" t="str">
        <x:v>Logo fallback</x:v>
      </x:c>
      <x:c r="D55" s="53" t="str">
        <x:v>P1</x:v>
      </x:c>
      <x:c r="E55" s="53" t="str">
        <x:v>Development + production smoke</x:v>
      </x:c>
      <x:c r="F55" s="53" t="str">
        <x:v>Desktop + mobile</x:v>
      </x:c>
      <x:c r="G55" s="53" t="str">
        <x:v>Product without original photo</x:v>
      </x:c>
      <x:c r="H55" s="53" t="str">
        <x:v>Open card/modal for a product with no approved photo.</x:v>
      </x:c>
      <x:c r="I55" s="53" t="str">
        <x:v>SHRISH logo is used; no AI/stock/old mismatched image appears.</x:v>
      </x:c>
      <x:c r="J55" s="53" t="str">
        <x:v>Not Run</x:v>
      </x:c>
      <x:c r="K55" s="53" t="str"/>
      <x:c r="L55" s="53" t="str">
        <x:v>N/A</x:v>
      </x:c>
      <x:c r="M55" s="53" t="str"/>
      <x:c r="N55" s="53" t="str"/>
      <x:c r="O55" s="54" t="str"/>
      <x:c r="P55" s="53" t="str"/>
    </x:row>
    <x:row r="56" ht="50" customHeight="1">
      <x:c r="A56" s="53" t="str">
        <x:v>SHP-021</x:v>
      </x:c>
      <x:c r="B56" s="53" t="str">
        <x:v>Shop &amp; catalog</x:v>
      </x:c>
      <x:c r="C56" s="53" t="str">
        <x:v>Variant add to cart</x:v>
      </x:c>
      <x:c r="D56" s="53" t="str">
        <x:v>P0</x:v>
      </x:c>
      <x:c r="E56" s="53" t="str">
        <x:v>Development + production smoke</x:v>
      </x:c>
      <x:c r="F56" s="53" t="str">
        <x:v>Desktop + mobile</x:v>
      </x:c>
      <x:c r="G56" s="53" t="str">
        <x:v>Multi-size product</x:v>
      </x:c>
      <x:c r="H56" s="53" t="str">
        <x:v>Add each size/price option and inspect cart.</x:v>
      </x:c>
      <x:c r="I56" s="53" t="str">
        <x:v>Correct variant, unit price, name, and quantity are stored.</x:v>
      </x:c>
      <x:c r="J56" s="53" t="str">
        <x:v>Not Run</x:v>
      </x:c>
      <x:c r="K56" s="53" t="str"/>
      <x:c r="L56" s="53" t="str">
        <x:v>N/A</x:v>
      </x:c>
      <x:c r="M56" s="53" t="str"/>
      <x:c r="N56" s="53" t="str"/>
      <x:c r="O56" s="54" t="str"/>
      <x:c r="P56" s="53" t="str"/>
    </x:row>
    <x:row r="57" ht="50" customHeight="1">
      <x:c r="A57" s="53" t="str">
        <x:v>SHP-022</x:v>
      </x:c>
      <x:c r="B57" s="53" t="str">
        <x:v>Shop &amp; catalog</x:v>
      </x:c>
      <x:c r="C57" s="53" t="str">
        <x:v>Card add to cart</x:v>
      </x:c>
      <x:c r="D57" s="53" t="str">
        <x:v>P0</x:v>
      </x:c>
      <x:c r="E57" s="53" t="str">
        <x:v>Development + production smoke</x:v>
      </x:c>
      <x:c r="F57" s="53" t="str">
        <x:v>Desktop + mobile</x:v>
      </x:c>
      <x:c r="G57" s="53" t="str">
        <x:v>Available product</x:v>
      </x:c>
      <x:c r="H57" s="53" t="str">
        <x:v>Add from card, add again, then open cart.</x:v>
      </x:c>
      <x:c r="I57" s="53" t="str">
        <x:v>Cart updates once per click and merges/increments the matching variant correctly.</x:v>
      </x:c>
      <x:c r="J57" s="53" t="str">
        <x:v>Not Run</x:v>
      </x:c>
      <x:c r="K57" s="53" t="str"/>
      <x:c r="L57" s="53" t="str">
        <x:v>N/A</x:v>
      </x:c>
      <x:c r="M57" s="53" t="str"/>
      <x:c r="N57" s="53" t="str"/>
      <x:c r="O57" s="54" t="str"/>
      <x:c r="P57" s="53" t="str"/>
    </x:row>
    <x:row r="58" ht="50" customHeight="1">
      <x:c r="A58" s="53" t="str">
        <x:v>SHP-023</x:v>
      </x:c>
      <x:c r="B58" s="53" t="str">
        <x:v>Shop &amp; catalog</x:v>
      </x:c>
      <x:c r="C58" s="53" t="str">
        <x:v>Unavailable product blocked</x:v>
      </x:c>
      <x:c r="D58" s="53" t="str">
        <x:v>P0</x:v>
      </x:c>
      <x:c r="E58" s="53" t="str">
        <x:v>Development + production smoke</x:v>
      </x:c>
      <x:c r="F58" s="53" t="str">
        <x:v>Desktop + mobile</x:v>
      </x:c>
      <x:c r="G58" s="53" t="str">
        <x:v>Unavailable product</x:v>
      </x:c>
      <x:c r="H58" s="53" t="str">
        <x:v>Try all purchase entry points.</x:v>
      </x:c>
      <x:c r="I58" s="53" t="str">
        <x:v>Product cannot be added; Notify action is offered instead.</x:v>
      </x:c>
      <x:c r="J58" s="53" t="str">
        <x:v>Not Run</x:v>
      </x:c>
      <x:c r="K58" s="53" t="str"/>
      <x:c r="L58" s="53" t="str">
        <x:v>N/A</x:v>
      </x:c>
      <x:c r="M58" s="53" t="str"/>
      <x:c r="N58" s="53" t="str"/>
      <x:c r="O58" s="54" t="str"/>
      <x:c r="P58" s="53" t="str"/>
    </x:row>
    <x:row r="59" ht="50" customHeight="1">
      <x:c r="A59" s="53" t="str">
        <x:v>SHP-024</x:v>
      </x:c>
      <x:c r="B59" s="53" t="str">
        <x:v>Shop &amp; catalog</x:v>
      </x:c>
      <x:c r="C59" s="53" t="str">
        <x:v>Admin catalog changes surface</x:v>
      </x:c>
      <x:c r="D59" s="53" t="str">
        <x:v>P0</x:v>
      </x:c>
      <x:c r="E59" s="53" t="str">
        <x:v>Development</x:v>
      </x:c>
      <x:c r="F59" s="53" t="str">
        <x:v>Desktop + mobile</x:v>
      </x:c>
      <x:c r="G59" s="53" t="str">
        <x:v>Admin edit saved</x:v>
      </x:c>
      <x:c r="H59" s="53" t="str">
        <x:v>Hard reload shop and find the edited item.</x:v>
      </x:c>
      <x:c r="I59" s="53" t="str">
        <x:v>Approved price/content/image/availability changes are reflected without unrelated changes.</x:v>
      </x:c>
      <x:c r="J59" s="53" t="str">
        <x:v>Not Run</x:v>
      </x:c>
      <x:c r="K59" s="53" t="str"/>
      <x:c r="L59" s="53" t="str">
        <x:v>N/A</x:v>
      </x:c>
      <x:c r="M59" s="53" t="str"/>
      <x:c r="N59" s="53" t="str"/>
      <x:c r="O59" s="54" t="str"/>
      <x:c r="P59" s="53" t="str"/>
    </x:row>
    <x:row r="60" ht="50" customHeight="1">
      <x:c r="A60" s="53" t="str">
        <x:v>CRT-001</x:v>
      </x:c>
      <x:c r="B60" s="53" t="str">
        <x:v>Cart &amp; checkout UI</x:v>
      </x:c>
      <x:c r="C60" s="53" t="str">
        <x:v>Cart persistence</x:v>
      </x:c>
      <x:c r="D60" s="53" t="str">
        <x:v>P0</x:v>
      </x:c>
      <x:c r="E60" s="53" t="str">
        <x:v>Development + production smoke</x:v>
      </x:c>
      <x:c r="F60" s="53" t="str">
        <x:v>Desktop + mobile</x:v>
      </x:c>
      <x:c r="G60" s="53" t="str">
        <x:v>Cart contains items</x:v>
      </x:c>
      <x:c r="H60" s="53" t="str">
        <x:v>Reload and navigate away/back.</x:v>
      </x:c>
      <x:c r="I60" s="53" t="str">
        <x:v>Cart contents, variants, and quantities persist correctly.</x:v>
      </x:c>
      <x:c r="J60" s="53" t="str">
        <x:v>Not Run</x:v>
      </x:c>
      <x:c r="K60" s="53" t="str"/>
      <x:c r="L60" s="53" t="str">
        <x:v>N/A</x:v>
      </x:c>
      <x:c r="M60" s="53" t="str"/>
      <x:c r="N60" s="53" t="str"/>
      <x:c r="O60" s="54" t="str"/>
      <x:c r="P60" s="53" t="str"/>
    </x:row>
    <x:row r="61" ht="50" customHeight="1">
      <x:c r="A61" s="53" t="str">
        <x:v>CRT-002</x:v>
      </x:c>
      <x:c r="B61" s="53" t="str">
        <x:v>Cart &amp; checkout UI</x:v>
      </x:c>
      <x:c r="C61" s="53" t="str">
        <x:v>Quantity increase</x:v>
      </x:c>
      <x:c r="D61" s="53" t="str">
        <x:v>P0</x:v>
      </x:c>
      <x:c r="E61" s="53" t="str">
        <x:v>Development + production smoke</x:v>
      </x:c>
      <x:c r="F61" s="53" t="str">
        <x:v>Desktop + mobile</x:v>
      </x:c>
      <x:c r="G61" s="53" t="str">
        <x:v>Item in cart</x:v>
      </x:c>
      <x:c r="H61" s="53" t="str">
        <x:v>Press plus repeatedly.</x:v>
      </x:c>
      <x:c r="I61" s="53" t="str">
        <x:v>Quantity and totals update exactly once per tap/click.</x:v>
      </x:c>
      <x:c r="J61" s="53" t="str">
        <x:v>Not Run</x:v>
      </x:c>
      <x:c r="K61" s="53" t="str"/>
      <x:c r="L61" s="53" t="str">
        <x:v>N/A</x:v>
      </x:c>
      <x:c r="M61" s="53" t="str"/>
      <x:c r="N61" s="53" t="str"/>
      <x:c r="O61" s="54" t="str"/>
      <x:c r="P61" s="53" t="str"/>
    </x:row>
    <x:row r="62" ht="50" customHeight="1">
      <x:c r="A62" s="53" t="str">
        <x:v>CRT-003</x:v>
      </x:c>
      <x:c r="B62" s="53" t="str">
        <x:v>Cart &amp; checkout UI</x:v>
      </x:c>
      <x:c r="C62" s="53" t="str">
        <x:v>Quantity decrease above one</x:v>
      </x:c>
      <x:c r="D62" s="53" t="str">
        <x:v>P0</x:v>
      </x:c>
      <x:c r="E62" s="53" t="str">
        <x:v>Development + production smoke</x:v>
      </x:c>
      <x:c r="F62" s="53" t="str">
        <x:v>Desktop + mobile</x:v>
      </x:c>
      <x:c r="G62" s="53" t="str">
        <x:v>Quantity greater than one</x:v>
      </x:c>
      <x:c r="H62" s="53" t="str">
        <x:v>Press minus.</x:v>
      </x:c>
      <x:c r="I62" s="53" t="str">
        <x:v>Quantity decreases by one and totals recalculate.</x:v>
      </x:c>
      <x:c r="J62" s="53" t="str">
        <x:v>Not Run</x:v>
      </x:c>
      <x:c r="K62" s="53" t="str"/>
      <x:c r="L62" s="53" t="str">
        <x:v>N/A</x:v>
      </x:c>
      <x:c r="M62" s="53" t="str"/>
      <x:c r="N62" s="53" t="str"/>
      <x:c r="O62" s="54" t="str"/>
      <x:c r="P62" s="53" t="str"/>
    </x:row>
    <x:row r="63" ht="50" customHeight="1">
      <x:c r="A63" s="53" t="str">
        <x:v>CRT-004</x:v>
      </x:c>
      <x:c r="B63" s="53" t="str">
        <x:v>Cart &amp; checkout UI</x:v>
      </x:c>
      <x:c r="C63" s="53" t="str">
        <x:v>Minus at quantity one</x:v>
      </x:c>
      <x:c r="D63" s="53" t="str">
        <x:v>P0</x:v>
      </x:c>
      <x:c r="E63" s="53" t="str">
        <x:v>Development + production smoke</x:v>
      </x:c>
      <x:c r="F63" s="53" t="str">
        <x:v>Desktop + mobile</x:v>
      </x:c>
      <x:c r="G63" s="53" t="str">
        <x:v>Quantity equals one</x:v>
      </x:c>
      <x:c r="H63" s="53" t="str">
        <x:v>Press minus.</x:v>
      </x:c>
      <x:c r="I63" s="53" t="str">
        <x:v>Centered SHRISH-themed confirmation asks whether to remove the item.</x:v>
      </x:c>
      <x:c r="J63" s="53" t="str">
        <x:v>Not Run</x:v>
      </x:c>
      <x:c r="K63" s="53" t="str"/>
      <x:c r="L63" s="53" t="str">
        <x:v>N/A</x:v>
      </x:c>
      <x:c r="M63" s="53" t="str"/>
      <x:c r="N63" s="53" t="str"/>
      <x:c r="O63" s="54" t="str"/>
      <x:c r="P63" s="53" t="str"/>
    </x:row>
    <x:row r="64" ht="50" customHeight="1">
      <x:c r="A64" s="53" t="str">
        <x:v>CRT-005</x:v>
      </x:c>
      <x:c r="B64" s="53" t="str">
        <x:v>Cart &amp; checkout UI</x:v>
      </x:c>
      <x:c r="C64" s="53" t="str">
        <x:v>Remove confirmation cancel</x:v>
      </x:c>
      <x:c r="D64" s="53" t="str">
        <x:v>P1</x:v>
      </x:c>
      <x:c r="E64" s="53" t="str">
        <x:v>Development + production smoke</x:v>
      </x:c>
      <x:c r="F64" s="53" t="str">
        <x:v>Desktop + mobile</x:v>
      </x:c>
      <x:c r="G64" s="53" t="str">
        <x:v>Removal dialog open</x:v>
      </x:c>
      <x:c r="H64" s="53" t="str">
        <x:v>Choose Cancel and press Escape where supported.</x:v>
      </x:c>
      <x:c r="I64" s="53" t="str">
        <x:v>Dialog closes and item remains unchanged.</x:v>
      </x:c>
      <x:c r="J64" s="53" t="str">
        <x:v>Not Run</x:v>
      </x:c>
      <x:c r="K64" s="53" t="str"/>
      <x:c r="L64" s="53" t="str">
        <x:v>N/A</x:v>
      </x:c>
      <x:c r="M64" s="53" t="str"/>
      <x:c r="N64" s="53" t="str"/>
      <x:c r="O64" s="54" t="str"/>
      <x:c r="P64" s="53" t="str"/>
    </x:row>
    <x:row r="65" ht="50" customHeight="1">
      <x:c r="A65" s="53" t="str">
        <x:v>CRT-006</x:v>
      </x:c>
      <x:c r="B65" s="53" t="str">
        <x:v>Cart &amp; checkout UI</x:v>
      </x:c>
      <x:c r="C65" s="53" t="str">
        <x:v>Remove confirmation approve</x:v>
      </x:c>
      <x:c r="D65" s="53" t="str">
        <x:v>P0</x:v>
      </x:c>
      <x:c r="E65" s="53" t="str">
        <x:v>Development + production smoke</x:v>
      </x:c>
      <x:c r="F65" s="53" t="str">
        <x:v>Desktop + mobile</x:v>
      </x:c>
      <x:c r="G65" s="53" t="str">
        <x:v>Removal dialog open</x:v>
      </x:c>
      <x:c r="H65" s="53" t="str">
        <x:v>Confirm removal.</x:v>
      </x:c>
      <x:c r="I65" s="53" t="str">
        <x:v>Only the selected line is removed and totals/counts update.</x:v>
      </x:c>
      <x:c r="J65" s="53" t="str">
        <x:v>Not Run</x:v>
      </x:c>
      <x:c r="K65" s="53" t="str"/>
      <x:c r="L65" s="53" t="str">
        <x:v>N/A</x:v>
      </x:c>
      <x:c r="M65" s="53" t="str"/>
      <x:c r="N65" s="53" t="str"/>
      <x:c r="O65" s="54" t="str"/>
      <x:c r="P65" s="53" t="str"/>
    </x:row>
    <x:row r="66" ht="50" customHeight="1">
      <x:c r="A66" s="53" t="str">
        <x:v>CRT-007</x:v>
      </x:c>
      <x:c r="B66" s="53" t="str">
        <x:v>Cart &amp; checkout UI</x:v>
      </x:c>
      <x:c r="C66" s="53" t="str">
        <x:v>Delete icon visibility</x:v>
      </x:c>
      <x:c r="D66" s="53" t="str">
        <x:v>P1</x:v>
      </x:c>
      <x:c r="E66" s="53" t="str">
        <x:v>Development + production smoke</x:v>
      </x:c>
      <x:c r="F66" s="53" t="str">
        <x:v>Desktop + mobile</x:v>
      </x:c>
      <x:c r="G66" s="53" t="str">
        <x:v>Item in cart</x:v>
      </x:c>
      <x:c r="H66" s="53" t="str">
        <x:v>Inspect delete control on desktop and mobile.</x:v>
      </x:c>
      <x:c r="I66" s="53" t="str">
        <x:v>Boxed trash icon is visible, labeled for accessibility, and does not overlap price/quantity.</x:v>
      </x:c>
      <x:c r="J66" s="53" t="str">
        <x:v>Not Run</x:v>
      </x:c>
      <x:c r="K66" s="53" t="str"/>
      <x:c r="L66" s="53" t="str">
        <x:v>N/A</x:v>
      </x:c>
      <x:c r="M66" s="53" t="str"/>
      <x:c r="N66" s="53" t="str"/>
      <x:c r="O66" s="54" t="str"/>
      <x:c r="P66" s="53" t="str"/>
    </x:row>
    <x:row r="67" ht="50" customHeight="1">
      <x:c r="A67" s="53" t="str">
        <x:v>CRT-008</x:v>
      </x:c>
      <x:c r="B67" s="53" t="str">
        <x:v>Cart &amp; checkout UI</x:v>
      </x:c>
      <x:c r="C67" s="53" t="str">
        <x:v>Delete icon behavior</x:v>
      </x:c>
      <x:c r="D67" s="53" t="str">
        <x:v>P0</x:v>
      </x:c>
      <x:c r="E67" s="53" t="str">
        <x:v>Development + production smoke</x:v>
      </x:c>
      <x:c r="F67" s="53" t="str">
        <x:v>Desktop + mobile</x:v>
      </x:c>
      <x:c r="G67" s="53" t="str">
        <x:v>Item in cart</x:v>
      </x:c>
      <x:c r="H67" s="53" t="str">
        <x:v>Activate trash icon, cancel once, confirm once.</x:v>
      </x:c>
      <x:c r="I67" s="53" t="str">
        <x:v>The same themed confirmation is used and the correct item is removed.</x:v>
      </x:c>
      <x:c r="J67" s="53" t="str">
        <x:v>Not Run</x:v>
      </x:c>
      <x:c r="K67" s="53" t="str"/>
      <x:c r="L67" s="53" t="str">
        <x:v>N/A</x:v>
      </x:c>
      <x:c r="M67" s="53" t="str"/>
      <x:c r="N67" s="53" t="str"/>
      <x:c r="O67" s="54" t="str"/>
      <x:c r="P67" s="53" t="str"/>
    </x:row>
    <x:row r="68" ht="50" customHeight="1">
      <x:c r="A68" s="53" t="str">
        <x:v>CRT-009</x:v>
      </x:c>
      <x:c r="B68" s="53" t="str">
        <x:v>Cart &amp; checkout UI</x:v>
      </x:c>
      <x:c r="C68" s="53" t="str">
        <x:v>Empty cart</x:v>
      </x:c>
      <x:c r="D68" s="53" t="str">
        <x:v>P1</x:v>
      </x:c>
      <x:c r="E68" s="53" t="str">
        <x:v>Development + production smoke</x:v>
      </x:c>
      <x:c r="F68" s="53" t="str">
        <x:v>Desktop + mobile</x:v>
      </x:c>
      <x:c r="G68" s="53" t="str">
        <x:v>Remove final item</x:v>
      </x:c>
      <x:c r="H68" s="53" t="str">
        <x:v>Observe empty state and CTA.</x:v>
      </x:c>
      <x:c r="I68" s="53" t="str">
        <x:v>No stale totals remain; customer can return to shop.</x:v>
      </x:c>
      <x:c r="J68" s="53" t="str">
        <x:v>Not Run</x:v>
      </x:c>
      <x:c r="K68" s="53" t="str"/>
      <x:c r="L68" s="53" t="str">
        <x:v>N/A</x:v>
      </x:c>
      <x:c r="M68" s="53" t="str"/>
      <x:c r="N68" s="53" t="str"/>
      <x:c r="O68" s="54" t="str"/>
      <x:c r="P68" s="53" t="str"/>
    </x:row>
    <x:row r="69" ht="50" customHeight="1">
      <x:c r="A69" s="53" t="str">
        <x:v>CRT-010</x:v>
      </x:c>
      <x:c r="B69" s="53" t="str">
        <x:v>Cart &amp; checkout UI</x:v>
      </x:c>
      <x:c r="C69" s="53" t="str">
        <x:v>Checkout totals presentation</x:v>
      </x:c>
      <x:c r="D69" s="53" t="str">
        <x:v>P0</x:v>
      </x:c>
      <x:c r="E69" s="53" t="str">
        <x:v>Development + production smoke</x:v>
      </x:c>
      <x:c r="F69" s="53" t="str">
        <x:v>Desktop + mobile</x:v>
      </x:c>
      <x:c r="G69" s="53" t="str">
        <x:v>Cart contains items</x:v>
      </x:c>
      <x:c r="H69" s="53" t="str">
        <x:v>Compare line totals, subtotal, tax, shipping, discount, and grand total.</x:v>
      </x:c>
      <x:c r="I69" s="53" t="str">
        <x:v>Math is correct to cents and labels are unambiguous.</x:v>
      </x:c>
      <x:c r="J69" s="53" t="str">
        <x:v>Not Run</x:v>
      </x:c>
      <x:c r="K69" s="53" t="str"/>
      <x:c r="L69" s="53" t="str">
        <x:v>N/A</x:v>
      </x:c>
      <x:c r="M69" s="53" t="str"/>
      <x:c r="N69" s="53" t="str"/>
      <x:c r="O69" s="54" t="str"/>
      <x:c r="P69" s="53" t="str"/>
    </x:row>
    <x:row r="70" ht="50" customHeight="1">
      <x:c r="A70" s="53" t="str">
        <x:v>CRT-011</x:v>
      </x:c>
      <x:c r="B70" s="53" t="str">
        <x:v>Cart &amp; checkout UI</x:v>
      </x:c>
      <x:c r="C70" s="53" t="str">
        <x:v>Mobile checkout layout</x:v>
      </x:c>
      <x:c r="D70" s="53" t="str">
        <x:v>P0</x:v>
      </x:c>
      <x:c r="E70" s="53" t="str">
        <x:v>Development + production smoke</x:v>
      </x:c>
      <x:c r="F70" s="53" t="str">
        <x:v>iPhone + Android</x:v>
      </x:c>
      <x:c r="G70" s="53" t="str">
        <x:v>Cart contains long-name product</x:v>
      </x:c>
      <x:c r="H70" s="53" t="str">
        <x:v>Review order card, quantity, price, delete, forms, and sticky CTA while scrolling.</x:v>
      </x:c>
      <x:c r="I70" s="53" t="str">
        <x:v>No overlaps, clipped fields, hidden actions, or horizontal scrolling.</x:v>
      </x:c>
      <x:c r="J70" s="53" t="str">
        <x:v>Not Run</x:v>
      </x:c>
      <x:c r="K70" s="53" t="str"/>
      <x:c r="L70" s="53" t="str">
        <x:v>N/A</x:v>
      </x:c>
      <x:c r="M70" s="53" t="str"/>
      <x:c r="N70" s="53" t="str"/>
      <x:c r="O70" s="54" t="str"/>
      <x:c r="P70" s="53" t="str"/>
    </x:row>
    <x:row r="71" ht="50" customHeight="1">
      <x:c r="A71" s="53" t="str">
        <x:v>CRT-012</x:v>
      </x:c>
      <x:c r="B71" s="53" t="str">
        <x:v>Cart &amp; checkout UI</x:v>
      </x:c>
      <x:c r="C71" s="53" t="str">
        <x:v>Sticky mobile CTA</x:v>
      </x:c>
      <x:c r="D71" s="53" t="str">
        <x:v>P1</x:v>
      </x:c>
      <x:c r="E71" s="53" t="str">
        <x:v>Development + production smoke</x:v>
      </x:c>
      <x:c r="F71" s="53" t="str">
        <x:v>Mobile</x:v>
      </x:c>
      <x:c r="G71" s="53" t="str">
        <x:v>Checkout open</x:v>
      </x:c>
      <x:c r="H71" s="53" t="str">
        <x:v>Scroll from top to bottom and open/close menu/dialog.</x:v>
      </x:c>
      <x:c r="I71" s="53" t="str">
        <x:v>CTA stays usable without covering required fields, dialogs, or browser safe area.</x:v>
      </x:c>
      <x:c r="J71" s="53" t="str">
        <x:v>Not Run</x:v>
      </x:c>
      <x:c r="K71" s="53" t="str"/>
      <x:c r="L71" s="53" t="str">
        <x:v>N/A</x:v>
      </x:c>
      <x:c r="M71" s="53" t="str"/>
      <x:c r="N71" s="53" t="str"/>
      <x:c r="O71" s="54" t="str"/>
      <x:c r="P71" s="53" t="str"/>
    </x:row>
    <x:row r="72" ht="50" customHeight="1">
      <x:c r="A72" s="53" t="str">
        <x:v>CRT-013</x:v>
      </x:c>
      <x:c r="B72" s="53" t="str">
        <x:v>Cart &amp; checkout UI</x:v>
      </x:c>
      <x:c r="C72" s="53" t="str">
        <x:v>Contact required fields</x:v>
      </x:c>
      <x:c r="D72" s="53" t="str">
        <x:v>P0</x:v>
      </x:c>
      <x:c r="E72" s="53" t="str">
        <x:v>Development + production smoke</x:v>
      </x:c>
      <x:c r="F72" s="53" t="str">
        <x:v>Desktop + mobile</x:v>
      </x:c>
      <x:c r="G72" s="53" t="str">
        <x:v>Checkout open</x:v>
      </x:c>
      <x:c r="H72" s="53" t="str">
        <x:v>Submit blank name, phone, and email; then correct each field.</x:v>
      </x:c>
      <x:c r="I72" s="53" t="str">
        <x:v>Inline errors identify missing/invalid data and clear when corrected.</x:v>
      </x:c>
      <x:c r="J72" s="53" t="str">
        <x:v>Not Run</x:v>
      </x:c>
      <x:c r="K72" s="53" t="str"/>
      <x:c r="L72" s="53" t="str">
        <x:v>N/A</x:v>
      </x:c>
      <x:c r="M72" s="53" t="str"/>
      <x:c r="N72" s="53" t="str"/>
      <x:c r="O72" s="54" t="str"/>
      <x:c r="P72" s="53" t="str"/>
    </x:row>
    <x:row r="73" ht="50" customHeight="1">
      <x:c r="A73" s="53" t="str">
        <x:v>CRT-014</x:v>
      </x:c>
      <x:c r="B73" s="53" t="str">
        <x:v>Cart &amp; checkout UI</x:v>
      </x:c>
      <x:c r="C73" s="53" t="str">
        <x:v>Phone validation</x:v>
      </x:c>
      <x:c r="D73" s="53" t="str">
        <x:v>P1</x:v>
      </x:c>
      <x:c r="E73" s="53" t="str">
        <x:v>Development + production smoke</x:v>
      </x:c>
      <x:c r="F73" s="53" t="str">
        <x:v>Desktop + mobile</x:v>
      </x:c>
      <x:c r="G73" s="53" t="str">
        <x:v>Checkout open</x:v>
      </x:c>
      <x:c r="H73" s="53" t="str">
        <x:v>Try short, formatted US, and international-style values.</x:v>
      </x:c>
      <x:c r="I73" s="53" t="str">
        <x:v>Accepted formats are intentional; impossible values are blocked.</x:v>
      </x:c>
      <x:c r="J73" s="53" t="str">
        <x:v>Not Run</x:v>
      </x:c>
      <x:c r="K73" s="53" t="str"/>
      <x:c r="L73" s="53" t="str">
        <x:v>N/A</x:v>
      </x:c>
      <x:c r="M73" s="53" t="str"/>
      <x:c r="N73" s="53" t="str"/>
      <x:c r="O73" s="54" t="str"/>
      <x:c r="P73" s="53" t="str"/>
    </x:row>
    <x:row r="74" ht="50" customHeight="1">
      <x:c r="A74" s="53" t="str">
        <x:v>CRT-015</x:v>
      </x:c>
      <x:c r="B74" s="53" t="str">
        <x:v>Cart &amp; checkout UI</x:v>
      </x:c>
      <x:c r="C74" s="53" t="str">
        <x:v>Email validation</x:v>
      </x:c>
      <x:c r="D74" s="53" t="str">
        <x:v>P1</x:v>
      </x:c>
      <x:c r="E74" s="53" t="str">
        <x:v>Development + production smoke</x:v>
      </x:c>
      <x:c r="F74" s="53" t="str">
        <x:v>Desktop + mobile</x:v>
      </x:c>
      <x:c r="G74" s="53" t="str">
        <x:v>Checkout open</x:v>
      </x:c>
      <x:c r="H74" s="53" t="str">
        <x:v>Try malformed and valid emails.</x:v>
      </x:c>
      <x:c r="I74" s="53" t="str">
        <x:v>Malformed email is blocked; valid email is accepted.</x:v>
      </x:c>
      <x:c r="J74" s="53" t="str">
        <x:v>Not Run</x:v>
      </x:c>
      <x:c r="K74" s="53" t="str"/>
      <x:c r="L74" s="53" t="str">
        <x:v>N/A</x:v>
      </x:c>
      <x:c r="M74" s="53" t="str"/>
      <x:c r="N74" s="53" t="str"/>
      <x:c r="O74" s="54" t="str"/>
      <x:c r="P74" s="53" t="str"/>
    </x:row>
    <x:row r="75" ht="50" customHeight="1">
      <x:c r="A75" s="53" t="str">
        <x:v>CRT-016</x:v>
      </x:c>
      <x:c r="B75" s="53" t="str">
        <x:v>Cart &amp; checkout UI</x:v>
      </x:c>
      <x:c r="C75" s="53" t="str">
        <x:v>Special instructions</x:v>
      </x:c>
      <x:c r="D75" s="53" t="str">
        <x:v>P2</x:v>
      </x:c>
      <x:c r="E75" s="53" t="str">
        <x:v>Development + production smoke</x:v>
      </x:c>
      <x:c r="F75" s="53" t="str">
        <x:v>Desktop + mobile</x:v>
      </x:c>
      <x:c r="G75" s="53" t="str">
        <x:v>Checkout open</x:v>
      </x:c>
      <x:c r="H75" s="53" t="str">
        <x:v>Enter punctuation and a long but reasonable note.</x:v>
      </x:c>
      <x:c r="I75" s="53" t="str">
        <x:v>Text is retained, safely displayed, and stored with order.</x:v>
      </x:c>
      <x:c r="J75" s="53" t="str">
        <x:v>Not Run</x:v>
      </x:c>
      <x:c r="K75" s="53" t="str"/>
      <x:c r="L75" s="53" t="str">
        <x:v>N/A</x:v>
      </x:c>
      <x:c r="M75" s="53" t="str"/>
      <x:c r="N75" s="53" t="str"/>
      <x:c r="O75" s="54" t="str"/>
      <x:c r="P75" s="53" t="str"/>
    </x:row>
    <x:row r="76" ht="50" customHeight="1">
      <x:c r="A76" s="53" t="str">
        <x:v>CRT-017</x:v>
      </x:c>
      <x:c r="B76" s="53" t="str">
        <x:v>Cart &amp; checkout UI</x:v>
      </x:c>
      <x:c r="C76" s="53" t="str">
        <x:v>Duplicate submit protection</x:v>
      </x:c>
      <x:c r="D76" s="53" t="str">
        <x:v>P0</x:v>
      </x:c>
      <x:c r="E76" s="53" t="str">
        <x:v>Development</x:v>
      </x:c>
      <x:c r="F76" s="53" t="str">
        <x:v>Desktop + mobile</x:v>
      </x:c>
      <x:c r="G76" s="53" t="str">
        <x:v>Form complete</x:v>
      </x:c>
      <x:c r="H76" s="53" t="str">
        <x:v>Double-click/tap submit and simulate slow response.</x:v>
      </x:c>
      <x:c r="I76" s="53" t="str">
        <x:v>One order/payment session is created and button shows progress.</x:v>
      </x:c>
      <x:c r="J76" s="53" t="str">
        <x:v>Not Run</x:v>
      </x:c>
      <x:c r="K76" s="53" t="str"/>
      <x:c r="L76" s="53" t="str">
        <x:v>N/A</x:v>
      </x:c>
      <x:c r="M76" s="53" t="str"/>
      <x:c r="N76" s="53" t="str"/>
      <x:c r="O76" s="54" t="str"/>
      <x:c r="P76" s="53" t="str"/>
    </x:row>
    <x:row r="77" ht="50" customHeight="1">
      <x:c r="A77" s="53" t="str">
        <x:v>PAY-001</x:v>
      </x:c>
      <x:c r="B77" s="53" t="str">
        <x:v>Payment, tax &amp; fulfillment</x:v>
      </x:c>
      <x:c r="C77" s="53" t="str">
        <x:v>Mango-only payment rule</x:v>
      </x:c>
      <x:c r="D77" s="53" t="str">
        <x:v>P0</x:v>
      </x:c>
      <x:c r="E77" s="53" t="str">
        <x:v>Development</x:v>
      </x:c>
      <x:c r="F77" s="53" t="str">
        <x:v>Desktop + mobile</x:v>
      </x:c>
      <x:c r="G77" s="53" t="str">
        <x:v>Cart contains only mango</x:v>
      </x:c>
      <x:c r="H77" s="53" t="str">
        <x:v>Open checkout and inspect fulfillment/payment options.</x:v>
      </x:c>
      <x:c r="I77" s="53" t="str">
        <x:v>Pay at pickup is available; shipping and Stripe-only requirement are not shown.</x:v>
      </x:c>
      <x:c r="J77" s="53" t="str">
        <x:v>Not Run</x:v>
      </x:c>
      <x:c r="K77" s="53" t="str"/>
      <x:c r="L77" s="53" t="str">
        <x:v>N/A</x:v>
      </x:c>
      <x:c r="M77" s="53" t="str"/>
      <x:c r="N77" s="53" t="str"/>
      <x:c r="O77" s="54" t="str"/>
      <x:c r="P77" s="53" t="str"/>
    </x:row>
    <x:row r="78" ht="50" customHeight="1">
      <x:c r="A78" s="53" t="str">
        <x:v>PAY-002</x:v>
      </x:c>
      <x:c r="B78" s="53" t="str">
        <x:v>Payment, tax &amp; fulfillment</x:v>
      </x:c>
      <x:c r="C78" s="53" t="str">
        <x:v>Mixed-cart payment rule</x:v>
      </x:c>
      <x:c r="D78" s="53" t="str">
        <x:v>P0</x:v>
      </x:c>
      <x:c r="E78" s="53" t="str">
        <x:v>Development</x:v>
      </x:c>
      <x:c r="F78" s="53" t="str">
        <x:v>Desktop + mobile</x:v>
      </x:c>
      <x:c r="G78" s="53" t="str">
        <x:v>Cart contains mango plus non-mango</x:v>
      </x:c>
      <x:c r="H78" s="53" t="str">
        <x:v>Open checkout.</x:v>
      </x:c>
      <x:c r="I78" s="53" t="str">
        <x:v>Pay at pickup is available and shipping is unavailable for the mixed cart.</x:v>
      </x:c>
      <x:c r="J78" s="53" t="str">
        <x:v>Not Run</x:v>
      </x:c>
      <x:c r="K78" s="53" t="str"/>
      <x:c r="L78" s="53" t="str">
        <x:v>N/A</x:v>
      </x:c>
      <x:c r="M78" s="53" t="str"/>
      <x:c r="N78" s="53" t="str"/>
      <x:c r="O78" s="54" t="str"/>
      <x:c r="P78" s="53" t="str"/>
    </x:row>
    <x:row r="79" ht="50" customHeight="1">
      <x:c r="A79" s="53" t="str">
        <x:v>PAY-003</x:v>
      </x:c>
      <x:c r="B79" s="53" t="str">
        <x:v>Payment, tax &amp; fulfillment</x:v>
      </x:c>
      <x:c r="C79" s="53" t="str">
        <x:v>Non-mango payment rule</x:v>
      </x:c>
      <x:c r="D79" s="53" t="str">
        <x:v>P0</x:v>
      </x:c>
      <x:c r="E79" s="53" t="str">
        <x:v>Development</x:v>
      </x:c>
      <x:c r="F79" s="53" t="str">
        <x:v>Desktop + mobile</x:v>
      </x:c>
      <x:c r="G79" s="53" t="str">
        <x:v>Cart contains only pickle/podi/sweet/snack</x:v>
      </x:c>
      <x:c r="H79" s="53" t="str">
        <x:v>Open checkout.</x:v>
      </x:c>
      <x:c r="I79" s="53" t="str">
        <x:v>Online Stripe payment is required; Pay at pickup is not offered.</x:v>
      </x:c>
      <x:c r="J79" s="53" t="str">
        <x:v>Not Run</x:v>
      </x:c>
      <x:c r="K79" s="53" t="str"/>
      <x:c r="L79" s="53" t="str">
        <x:v>N/A</x:v>
      </x:c>
      <x:c r="M79" s="53" t="str"/>
      <x:c r="N79" s="53" t="str"/>
      <x:c r="O79" s="54" t="str"/>
      <x:c r="P79" s="53" t="str"/>
    </x:row>
    <x:row r="80" ht="50" customHeight="1">
      <x:c r="A80" s="53" t="str">
        <x:v>PAY-004</x:v>
      </x:c>
      <x:c r="B80" s="53" t="str">
        <x:v>Payment, tax &amp; fulfillment</x:v>
      </x:c>
      <x:c r="C80" s="53" t="str">
        <x:v>Rule recalculation after mango removal</x:v>
      </x:c>
      <x:c r="D80" s="53" t="str">
        <x:v>P0</x:v>
      </x:c>
      <x:c r="E80" s="53" t="str">
        <x:v>Development</x:v>
      </x:c>
      <x:c r="F80" s="53" t="str">
        <x:v>Desktop + mobile</x:v>
      </x:c>
      <x:c r="G80" s="53" t="str">
        <x:v>Mixed cart open</x:v>
      </x:c>
      <x:c r="H80" s="53" t="str">
        <x:v>Remove all mango items without reloading.</x:v>
      </x:c>
      <x:c r="I80" s="53" t="str">
        <x:v>Checkout immediately switches to non-mango online-payment rules.</x:v>
      </x:c>
      <x:c r="J80" s="53" t="str">
        <x:v>Not Run</x:v>
      </x:c>
      <x:c r="K80" s="53" t="str"/>
      <x:c r="L80" s="53" t="str">
        <x:v>N/A</x:v>
      </x:c>
      <x:c r="M80" s="53" t="str"/>
      <x:c r="N80" s="53" t="str"/>
      <x:c r="O80" s="54" t="str"/>
      <x:c r="P80" s="53" t="str"/>
    </x:row>
    <x:row r="81" ht="50" customHeight="1">
      <x:c r="A81" s="53" t="str">
        <x:v>PAY-005</x:v>
      </x:c>
      <x:c r="B81" s="53" t="str">
        <x:v>Payment, tax &amp; fulfillment</x:v>
      </x:c>
      <x:c r="C81" s="53" t="str">
        <x:v>Rule recalculation after mango add</x:v>
      </x:c>
      <x:c r="D81" s="53" t="str">
        <x:v>P0</x:v>
      </x:c>
      <x:c r="E81" s="53" t="str">
        <x:v>Development</x:v>
      </x:c>
      <x:c r="F81" s="53" t="str">
        <x:v>Desktop + mobile</x:v>
      </x:c>
      <x:c r="G81" s="53" t="str">
        <x:v>Non-mango cart open</x:v>
      </x:c>
      <x:c r="H81" s="53" t="str">
        <x:v>Return to shop, add mango, reopen checkout.</x:v>
      </x:c>
      <x:c r="I81" s="53" t="str">
        <x:v>Checkout follows mixed-cart pickup rule consistently.</x:v>
      </x:c>
      <x:c r="J81" s="53" t="str">
        <x:v>Not Run</x:v>
      </x:c>
      <x:c r="K81" s="53" t="str"/>
      <x:c r="L81" s="53" t="str">
        <x:v>N/A</x:v>
      </x:c>
      <x:c r="M81" s="53" t="str"/>
      <x:c r="N81" s="53" t="str"/>
      <x:c r="O81" s="54" t="str"/>
      <x:c r="P81" s="53" t="str"/>
    </x:row>
    <x:row r="82" ht="50" customHeight="1">
      <x:c r="A82" s="53" t="str">
        <x:v>PAY-006</x:v>
      </x:c>
      <x:c r="B82" s="53" t="str">
        <x:v>Payment, tax &amp; fulfillment</x:v>
      </x:c>
      <x:c r="C82" s="53" t="str">
        <x:v>Pickup locations for pickup</x:v>
      </x:c>
      <x:c r="D82" s="53" t="str">
        <x:v>P1</x:v>
      </x:c>
      <x:c r="E82" s="53" t="str">
        <x:v>Development</x:v>
      </x:c>
      <x:c r="F82" s="53" t="str">
        <x:v>Desktop + mobile</x:v>
      </x:c>
      <x:c r="G82" s="53" t="str">
        <x:v>Pickup-eligible cart</x:v>
      </x:c>
      <x:c r="H82" s="53" t="str">
        <x:v>Choose pickup and review locations.</x:v>
      </x:c>
      <x:c r="I82" s="53" t="str">
        <x:v>Approved pickup locations display and one is required.</x:v>
      </x:c>
      <x:c r="J82" s="53" t="str">
        <x:v>Not Run</x:v>
      </x:c>
      <x:c r="K82" s="53" t="str"/>
      <x:c r="L82" s="53" t="str">
        <x:v>N/A</x:v>
      </x:c>
      <x:c r="M82" s="53" t="str"/>
      <x:c r="N82" s="53" t="str"/>
      <x:c r="O82" s="54" t="str"/>
      <x:c r="P82" s="53" t="str"/>
    </x:row>
    <x:row r="83" ht="50" customHeight="1">
      <x:c r="A83" s="53" t="str">
        <x:v>PAY-007</x:v>
      </x:c>
      <x:c r="B83" s="53" t="str">
        <x:v>Payment, tax &amp; fulfillment</x:v>
      </x:c>
      <x:c r="C83" s="53" t="str">
        <x:v>Pickup hidden for shipping</x:v>
      </x:c>
      <x:c r="D83" s="53" t="str">
        <x:v>P0</x:v>
      </x:c>
      <x:c r="E83" s="53" t="str">
        <x:v>Development</x:v>
      </x:c>
      <x:c r="F83" s="53" t="str">
        <x:v>Desktop + mobile</x:v>
      </x:c>
      <x:c r="G83" s="53" t="str">
        <x:v>Shipping-eligible non-mango cart</x:v>
      </x:c>
      <x:c r="H83" s="53" t="str">
        <x:v>Choose Shipping.</x:v>
      </x:c>
      <x:c r="I83" s="53" t="str">
        <x:v>Pickup location cards and pickup-only instructions are hidden.</x:v>
      </x:c>
      <x:c r="J83" s="53" t="str">
        <x:v>Not Run</x:v>
      </x:c>
      <x:c r="K83" s="53" t="str"/>
      <x:c r="L83" s="53" t="str">
        <x:v>N/A</x:v>
      </x:c>
      <x:c r="M83" s="53" t="str"/>
      <x:c r="N83" s="53" t="str"/>
      <x:c r="O83" s="54" t="str"/>
      <x:c r="P83" s="53" t="str"/>
    </x:row>
    <x:row r="84" ht="50" customHeight="1">
      <x:c r="A84" s="53" t="str">
        <x:v>PAY-008</x:v>
      </x:c>
      <x:c r="B84" s="53" t="str">
        <x:v>Payment, tax &amp; fulfillment</x:v>
      </x:c>
      <x:c r="C84" s="53" t="str">
        <x:v>Shipping address fields</x:v>
      </x:c>
      <x:c r="D84" s="53" t="str">
        <x:v>P0</x:v>
      </x:c>
      <x:c r="E84" s="53" t="str">
        <x:v>Development</x:v>
      </x:c>
      <x:c r="F84" s="53" t="str">
        <x:v>Desktop + mobile</x:v>
      </x:c>
      <x:c r="G84" s="53" t="str">
        <x:v>Shipping selected</x:v>
      </x:c>
      <x:c r="H84" s="53" t="str">
        <x:v>Review recipient, address line, city, state, ZIP, optional unit.</x:v>
      </x:c>
      <x:c r="I84" s="53" t="str">
        <x:v>Required shipping fields are visible, labeled, and validate correctly.</x:v>
      </x:c>
      <x:c r="J84" s="53" t="str">
        <x:v>Not Run</x:v>
      </x:c>
      <x:c r="K84" s="53" t="str"/>
      <x:c r="L84" s="53" t="str">
        <x:v>N/A</x:v>
      </x:c>
      <x:c r="M84" s="53" t="str"/>
      <x:c r="N84" s="53" t="str"/>
      <x:c r="O84" s="54" t="str"/>
      <x:c r="P84" s="53" t="str"/>
    </x:row>
    <x:row r="85" ht="50" customHeight="1">
      <x:c r="A85" s="53" t="str">
        <x:v>PAY-009</x:v>
      </x:c>
      <x:c r="B85" s="53" t="str">
        <x:v>Payment, tax &amp; fulfillment</x:v>
      </x:c>
      <x:c r="C85" s="53" t="str">
        <x:v>Address autocomplete</x:v>
      </x:c>
      <x:c r="D85" s="53" t="str">
        <x:v>P0</x:v>
      </x:c>
      <x:c r="E85" s="53" t="str">
        <x:v>Development</x:v>
      </x:c>
      <x:c r="F85" s="53" t="str">
        <x:v>Desktop + mobile</x:v>
      </x:c>
      <x:c r="G85" s="53" t="str">
        <x:v>Google Places key/config active</x:v>
      </x:c>
      <x:c r="H85" s="53" t="str">
        <x:v>Type a partial US street address slowly.</x:v>
      </x:c>
      <x:c r="I85" s="53" t="str">
        <x:v>Relevant address suggestions appear without exposing the key beyond approved browser use.</x:v>
      </x:c>
      <x:c r="J85" s="53" t="str">
        <x:v>Not Run</x:v>
      </x:c>
      <x:c r="K85" s="53" t="str"/>
      <x:c r="L85" s="53" t="str">
        <x:v>N/A</x:v>
      </x:c>
      <x:c r="M85" s="53" t="str"/>
      <x:c r="N85" s="53" t="str"/>
      <x:c r="O85" s="54" t="str"/>
      <x:c r="P85" s="53" t="str"/>
    </x:row>
    <x:row r="86" ht="50" customHeight="1">
      <x:c r="A86" s="53" t="str">
        <x:v>PAY-010</x:v>
      </x:c>
      <x:c r="B86" s="53" t="str">
        <x:v>Payment, tax &amp; fulfillment</x:v>
      </x:c>
      <x:c r="C86" s="53" t="str">
        <x:v>Select suggested address</x:v>
      </x:c>
      <x:c r="D86" s="53" t="str">
        <x:v>P0</x:v>
      </x:c>
      <x:c r="E86" s="53" t="str">
        <x:v>Development</x:v>
      </x:c>
      <x:c r="F86" s="53" t="str">
        <x:v>Desktop + mobile</x:v>
      </x:c>
      <x:c r="G86" s="53" t="str">
        <x:v>Suggestions visible</x:v>
      </x:c>
      <x:c r="H86" s="53" t="str">
        <x:v>Choose a suggestion.</x:v>
      </x:c>
      <x:c r="I86" s="53" t="str">
        <x:v>Street, city, state, ZIP, and country populate accurately and remain editable.</x:v>
      </x:c>
      <x:c r="J86" s="53" t="str">
        <x:v>Not Run</x:v>
      </x:c>
      <x:c r="K86" s="53" t="str"/>
      <x:c r="L86" s="53" t="str">
        <x:v>N/A</x:v>
      </x:c>
      <x:c r="M86" s="53" t="str"/>
      <x:c r="N86" s="53" t="str"/>
      <x:c r="O86" s="54" t="str"/>
      <x:c r="P86" s="53" t="str"/>
    </x:row>
    <x:row r="87" ht="50" customHeight="1">
      <x:c r="A87" s="53" t="str">
        <x:v>PAY-011</x:v>
      </x:c>
      <x:c r="B87" s="53" t="str">
        <x:v>Payment, tax &amp; fulfillment</x:v>
      </x:c>
      <x:c r="C87" s="53" t="str">
        <x:v>Manual address fallback</x:v>
      </x:c>
      <x:c r="D87" s="53" t="str">
        <x:v>P1</x:v>
      </x:c>
      <x:c r="E87" s="53" t="str">
        <x:v>Development</x:v>
      </x:c>
      <x:c r="F87" s="53" t="str">
        <x:v>Desktop + mobile</x:v>
      </x:c>
      <x:c r="G87" s="53" t="str">
        <x:v>Autocomplete unavailable or no match</x:v>
      </x:c>
      <x:c r="H87" s="53" t="str">
        <x:v>Enter a complete address manually.</x:v>
      </x:c>
      <x:c r="I87" s="53" t="str">
        <x:v>Checkout remains usable and validates required fields.</x:v>
      </x:c>
      <x:c r="J87" s="53" t="str">
        <x:v>Not Run</x:v>
      </x:c>
      <x:c r="K87" s="53" t="str"/>
      <x:c r="L87" s="53" t="str">
        <x:v>N/A</x:v>
      </x:c>
      <x:c r="M87" s="53" t="str"/>
      <x:c r="N87" s="53" t="str"/>
      <x:c r="O87" s="54" t="str"/>
      <x:c r="P87" s="53" t="str"/>
    </x:row>
    <x:row r="88" ht="50" customHeight="1">
      <x:c r="A88" s="53" t="str">
        <x:v>PAY-012</x:v>
      </x:c>
      <x:c r="B88" s="53" t="str">
        <x:v>Payment, tax &amp; fulfillment</x:v>
      </x:c>
      <x:c r="C88" s="53" t="str">
        <x:v>Address API failure</x:v>
      </x:c>
      <x:c r="D88" s="53" t="str">
        <x:v>P1</x:v>
      </x:c>
      <x:c r="E88" s="53" t="str">
        <x:v>Development</x:v>
      </x:c>
      <x:c r="F88" s="53" t="str">
        <x:v>Desktop + mobile</x:v>
      </x:c>
      <x:c r="G88" s="53" t="str">
        <x:v>Simulate blocked/failed Places request</x:v>
      </x:c>
      <x:c r="H88" s="53" t="str">
        <x:v>Type an address and inspect error handling.</x:v>
      </x:c>
      <x:c r="I88" s="53" t="str">
        <x:v>No crash; customer sees a non-blocking fallback path.</x:v>
      </x:c>
      <x:c r="J88" s="53" t="str">
        <x:v>Not Run</x:v>
      </x:c>
      <x:c r="K88" s="53" t="str"/>
      <x:c r="L88" s="53" t="str">
        <x:v>N/A</x:v>
      </x:c>
      <x:c r="M88" s="53" t="str"/>
      <x:c r="N88" s="53" t="str"/>
      <x:c r="O88" s="54" t="str"/>
      <x:c r="P88" s="53" t="str"/>
    </x:row>
    <x:row r="89" ht="50" customHeight="1">
      <x:c r="A89" s="53" t="str">
        <x:v>PAY-013</x:v>
      </x:c>
      <x:c r="B89" s="53" t="str">
        <x:v>Payment, tax &amp; fulfillment</x:v>
      </x:c>
      <x:c r="C89" s="53" t="str">
        <x:v>Virginia sales tax</x:v>
      </x:c>
      <x:c r="D89" s="53" t="str">
        <x:v>P0</x:v>
      </x:c>
      <x:c r="E89" s="53" t="str">
        <x:v>Development</x:v>
      </x:c>
      <x:c r="F89" s="53" t="str">
        <x:v>Desktop + mobile</x:v>
      </x:c>
      <x:c r="G89" s="53" t="str">
        <x:v>Known cart amount</x:v>
      </x:c>
      <x:c r="H89" s="53" t="str">
        <x:v>Calculate expected tax using configured rate and compare checkout/Stripe.</x:v>
      </x:c>
      <x:c r="I89" s="53" t="str">
        <x:v>Displayed, saved, and charged tax match to the cent.</x:v>
      </x:c>
      <x:c r="J89" s="53" t="str">
        <x:v>Not Run</x:v>
      </x:c>
      <x:c r="K89" s="53" t="str"/>
      <x:c r="L89" s="53" t="str">
        <x:v>N/A</x:v>
      </x:c>
      <x:c r="M89" s="53" t="str"/>
      <x:c r="N89" s="53" t="str"/>
      <x:c r="O89" s="54" t="str"/>
      <x:c r="P89" s="53" t="str"/>
    </x:row>
    <x:row r="90" ht="50" customHeight="1">
      <x:c r="A90" s="53" t="str">
        <x:v>PAY-014</x:v>
      </x:c>
      <x:c r="B90" s="53" t="str">
        <x:v>Payment, tax &amp; fulfillment</x:v>
      </x:c>
      <x:c r="C90" s="53" t="str">
        <x:v>Standard shipping fee</x:v>
      </x:c>
      <x:c r="D90" s="53" t="str">
        <x:v>P0</x:v>
      </x:c>
      <x:c r="E90" s="53" t="str">
        <x:v>Development</x:v>
      </x:c>
      <x:c r="F90" s="53" t="str">
        <x:v>Desktop + mobile</x:v>
      </x:c>
      <x:c r="G90" s="53" t="str">
        <x:v>Eligible non-mango cart below threshold</x:v>
      </x:c>
      <x:c r="H90" s="53" t="str">
        <x:v>Select shipping.</x:v>
      </x:c>
      <x:c r="I90" s="53" t="str">
        <x:v>Configured standard shipping (currently $8.99 unless changed) is added once.</x:v>
      </x:c>
      <x:c r="J90" s="53" t="str">
        <x:v>Not Run</x:v>
      </x:c>
      <x:c r="K90" s="53" t="str"/>
      <x:c r="L90" s="53" t="str">
        <x:v>N/A</x:v>
      </x:c>
      <x:c r="M90" s="53" t="str"/>
      <x:c r="N90" s="53" t="str"/>
      <x:c r="O90" s="54" t="str"/>
      <x:c r="P90" s="53" t="str"/>
    </x:row>
    <x:row r="91" ht="50" customHeight="1">
      <x:c r="A91" s="53" t="str">
        <x:v>PAY-015</x:v>
      </x:c>
      <x:c r="B91" s="53" t="str">
        <x:v>Payment, tax &amp; fulfillment</x:v>
      </x:c>
      <x:c r="C91" s="53" t="str">
        <x:v>Free shipping threshold</x:v>
      </x:c>
      <x:c r="D91" s="53" t="str">
        <x:v>P0</x:v>
      </x:c>
      <x:c r="E91" s="53" t="str">
        <x:v>Development</x:v>
      </x:c>
      <x:c r="F91" s="53" t="str">
        <x:v>Desktop + mobile</x:v>
      </x:c>
      <x:c r="G91" s="53" t="str">
        <x:v>Eligible non-mango cart</x:v>
      </x:c>
      <x:c r="H91" s="53" t="str">
        <x:v>Test $74.99, $75.00, and $75.01 merchandise totals.</x:v>
      </x:c>
      <x:c r="I91" s="53" t="str">
        <x:v>Free shipping starts at the configured threshold with clear messaging.</x:v>
      </x:c>
      <x:c r="J91" s="53" t="str">
        <x:v>Not Run</x:v>
      </x:c>
      <x:c r="K91" s="53" t="str"/>
      <x:c r="L91" s="53" t="str">
        <x:v>N/A</x:v>
      </x:c>
      <x:c r="M91" s="53" t="str"/>
      <x:c r="N91" s="53" t="str"/>
      <x:c r="O91" s="54" t="str"/>
      <x:c r="P91" s="53" t="str"/>
    </x:row>
    <x:row r="92" ht="50" customHeight="1">
      <x:c r="A92" s="53" t="str">
        <x:v>PAY-016</x:v>
      </x:c>
      <x:c r="B92" s="53" t="str">
        <x:v>Payment, tax &amp; fulfillment</x:v>
      </x:c>
      <x:c r="C92" s="53" t="str">
        <x:v>Mango shipping exclusion</x:v>
      </x:c>
      <x:c r="D92" s="53" t="str">
        <x:v>P0</x:v>
      </x:c>
      <x:c r="E92" s="53" t="str">
        <x:v>Development</x:v>
      </x:c>
      <x:c r="F92" s="53" t="str">
        <x:v>Desktop + mobile</x:v>
      </x:c>
      <x:c r="G92" s="53" t="str">
        <x:v>Cart has mango</x:v>
      </x:c>
      <x:c r="H92" s="53" t="str">
        <x:v>Attempt to reach shipping through UI and crafted state.</x:v>
      </x:c>
      <x:c r="I92" s="53" t="str">
        <x:v>Shipping is blocked for mango-containing carts.</x:v>
      </x:c>
      <x:c r="J92" s="53" t="str">
        <x:v>Not Run</x:v>
      </x:c>
      <x:c r="K92" s="53" t="str"/>
      <x:c r="L92" s="53" t="str">
        <x:v>N/A</x:v>
      </x:c>
      <x:c r="M92" s="53" t="str"/>
      <x:c r="N92" s="53" t="str"/>
      <x:c r="O92" s="54" t="str"/>
      <x:c r="P92" s="53" t="str"/>
    </x:row>
    <x:row r="93" ht="50" customHeight="1">
      <x:c r="A93" s="53" t="str">
        <x:v>PAY-017</x:v>
      </x:c>
      <x:c r="B93" s="53" t="str">
        <x:v>Payment, tax &amp; fulfillment</x:v>
      </x:c>
      <x:c r="C93" s="53" t="str">
        <x:v>Stripe test success</x:v>
      </x:c>
      <x:c r="D93" s="53" t="str">
        <x:v>P0</x:v>
      </x:c>
      <x:c r="E93" s="53" t="str">
        <x:v>Development</x:v>
      </x:c>
      <x:c r="F93" s="53" t="str">
        <x:v>Desktop + mobile</x:v>
      </x:c>
      <x:c r="G93" s="53" t="str">
        <x:v>Stripe test mode</x:v>
      </x:c>
      <x:c r="H93" s="53" t="str">
        <x:v>Complete checkout with Stripe success test card.</x:v>
      </x:c>
      <x:c r="I93" s="53" t="str">
        <x:v>One successful payment, one order, paid status, and confirmation page result.</x:v>
      </x:c>
      <x:c r="J93" s="53" t="str">
        <x:v>Not Run</x:v>
      </x:c>
      <x:c r="K93" s="53" t="str"/>
      <x:c r="L93" s="53" t="str">
        <x:v>N/A</x:v>
      </x:c>
      <x:c r="M93" s="53" t="str"/>
      <x:c r="N93" s="53" t="str"/>
      <x:c r="O93" s="54" t="str"/>
      <x:c r="P93" s="53" t="str"/>
    </x:row>
    <x:row r="94" ht="50" customHeight="1">
      <x:c r="A94" s="53" t="str">
        <x:v>PAY-018</x:v>
      </x:c>
      <x:c r="B94" s="53" t="str">
        <x:v>Payment, tax &amp; fulfillment</x:v>
      </x:c>
      <x:c r="C94" s="53" t="str">
        <x:v>Stripe decline</x:v>
      </x:c>
      <x:c r="D94" s="53" t="str">
        <x:v>P0</x:v>
      </x:c>
      <x:c r="E94" s="53" t="str">
        <x:v>Development</x:v>
      </x:c>
      <x:c r="F94" s="53" t="str">
        <x:v>Desktop + mobile</x:v>
      </x:c>
      <x:c r="G94" s="53" t="str">
        <x:v>Stripe test mode</x:v>
      </x:c>
      <x:c r="H94" s="53" t="str">
        <x:v>Use declined-card test data.</x:v>
      </x:c>
      <x:c r="I94" s="53" t="str">
        <x:v>Clear recoverable error; no paid order and cart remains available.</x:v>
      </x:c>
      <x:c r="J94" s="53" t="str">
        <x:v>Not Run</x:v>
      </x:c>
      <x:c r="K94" s="53" t="str"/>
      <x:c r="L94" s="53" t="str">
        <x:v>N/A</x:v>
      </x:c>
      <x:c r="M94" s="53" t="str"/>
      <x:c r="N94" s="53" t="str"/>
      <x:c r="O94" s="54" t="str"/>
      <x:c r="P94" s="53" t="str"/>
    </x:row>
    <x:row r="95" ht="50" customHeight="1">
      <x:c r="A95" s="53" t="str">
        <x:v>PAY-019</x:v>
      </x:c>
      <x:c r="B95" s="53" t="str">
        <x:v>Payment, tax &amp; fulfillment</x:v>
      </x:c>
      <x:c r="C95" s="53" t="str">
        <x:v>Stripe 3DS flow</x:v>
      </x:c>
      <x:c r="D95" s="53" t="str">
        <x:v>P1</x:v>
      </x:c>
      <x:c r="E95" s="53" t="str">
        <x:v>Development</x:v>
      </x:c>
      <x:c r="F95" s="53" t="str">
        <x:v>Desktop + mobile</x:v>
      </x:c>
      <x:c r="G95" s="53" t="str">
        <x:v>Stripe test mode</x:v>
      </x:c>
      <x:c r="H95" s="53" t="str">
        <x:v>Use authentication-required test card and complete/cancel challenge.</x:v>
      </x:c>
      <x:c r="I95" s="53" t="str">
        <x:v>Both paths return safely with accurate order/payment state.</x:v>
      </x:c>
      <x:c r="J95" s="53" t="str">
        <x:v>Not Run</x:v>
      </x:c>
      <x:c r="K95" s="53" t="str"/>
      <x:c r="L95" s="53" t="str">
        <x:v>N/A</x:v>
      </x:c>
      <x:c r="M95" s="53" t="str"/>
      <x:c r="N95" s="53" t="str"/>
      <x:c r="O95" s="54" t="str"/>
      <x:c r="P95" s="53" t="str"/>
    </x:row>
    <x:row r="96" ht="50" customHeight="1">
      <x:c r="A96" s="53" t="str">
        <x:v>PAY-020</x:v>
      </x:c>
      <x:c r="B96" s="53" t="str">
        <x:v>Payment, tax &amp; fulfillment</x:v>
      </x:c>
      <x:c r="C96" s="53" t="str">
        <x:v>Stripe cancel/back</x:v>
      </x:c>
      <x:c r="D96" s="53" t="str">
        <x:v>P1</x:v>
      </x:c>
      <x:c r="E96" s="53" t="str">
        <x:v>Development</x:v>
      </x:c>
      <x:c r="F96" s="53" t="str">
        <x:v>Desktop + mobile</x:v>
      </x:c>
      <x:c r="G96" s="53" t="str">
        <x:v>Stripe checkout launched</x:v>
      </x:c>
      <x:c r="H96" s="53" t="str">
        <x:v>Cancel and return to site.</x:v>
      </x:c>
      <x:c r="I96" s="53" t="str">
        <x:v>Customer returns to the same environment with cart/order state intact.</x:v>
      </x:c>
      <x:c r="J96" s="53" t="str">
        <x:v>Not Run</x:v>
      </x:c>
      <x:c r="K96" s="53" t="str"/>
      <x:c r="L96" s="53" t="str">
        <x:v>N/A</x:v>
      </x:c>
      <x:c r="M96" s="53" t="str"/>
      <x:c r="N96" s="53" t="str"/>
      <x:c r="O96" s="54" t="str"/>
      <x:c r="P96" s="53" t="str"/>
    </x:row>
    <x:row r="97" ht="50" customHeight="1">
      <x:c r="A97" s="53" t="str">
        <x:v>PAY-021</x:v>
      </x:c>
      <x:c r="B97" s="53" t="str">
        <x:v>Payment, tax &amp; fulfillment</x:v>
      </x:c>
      <x:c r="C97" s="53" t="str">
        <x:v>Development return host</x:v>
      </x:c>
      <x:c r="D97" s="53" t="str">
        <x:v>P0</x:v>
      </x:c>
      <x:c r="E97" s="53" t="str">
        <x:v>Development</x:v>
      </x:c>
      <x:c r="F97" s="53" t="str">
        <x:v>Desktop + mobile</x:v>
      </x:c>
      <x:c r="G97" s="53" t="str">
        <x:v>Start at dev.shrish.co</x:v>
      </x:c>
      <x:c r="H97" s="53" t="str">
        <x:v>Complete Stripe test payment.</x:v>
      </x:c>
      <x:c r="I97" s="53" t="str">
        <x:v>Success/cancel returns to dev.shrish.co, never shrish.co.</x:v>
      </x:c>
      <x:c r="J97" s="53" t="str">
        <x:v>Not Run</x:v>
      </x:c>
      <x:c r="K97" s="53" t="str"/>
      <x:c r="L97" s="53" t="str">
        <x:v>N/A</x:v>
      </x:c>
      <x:c r="M97" s="53" t="str"/>
      <x:c r="N97" s="53" t="str"/>
      <x:c r="O97" s="54" t="str"/>
      <x:c r="P97" s="53" t="str"/>
    </x:row>
    <x:row r="98" ht="50" customHeight="1">
      <x:c r="A98" s="53" t="str">
        <x:v>PAY-022</x:v>
      </x:c>
      <x:c r="B98" s="53" t="str">
        <x:v>Payment, tax &amp; fulfillment</x:v>
      </x:c>
      <x:c r="C98" s="53" t="str">
        <x:v>Confirmation order number</x:v>
      </x:c>
      <x:c r="D98" s="53" t="str">
        <x:v>P1</x:v>
      </x:c>
      <x:c r="E98" s="53" t="str">
        <x:v>Development</x:v>
      </x:c>
      <x:c r="F98" s="53" t="str">
        <x:v>Desktop + mobile</x:v>
      </x:c>
      <x:c r="G98" s="53" t="str">
        <x:v>Successful order</x:v>
      </x:c>
      <x:c r="H98" s="53" t="str">
        <x:v>Review confirmation page and account prompt.</x:v>
      </x:c>
      <x:c r="I98" s="53" t="str">
        <x:v>Order number is prominent, gold, readable, and consistent everywhere.</x:v>
      </x:c>
      <x:c r="J98" s="53" t="str">
        <x:v>Not Run</x:v>
      </x:c>
      <x:c r="K98" s="53" t="str"/>
      <x:c r="L98" s="53" t="str">
        <x:v>N/A</x:v>
      </x:c>
      <x:c r="M98" s="53" t="str"/>
      <x:c r="N98" s="53" t="str"/>
      <x:c r="O98" s="54" t="str"/>
      <x:c r="P98" s="53" t="str"/>
    </x:row>
    <x:row r="99" ht="50" customHeight="1">
      <x:c r="A99" s="53" t="str">
        <x:v>PAY-023</x:v>
      </x:c>
      <x:c r="B99" s="53" t="str">
        <x:v>Payment, tax &amp; fulfillment</x:v>
      </x:c>
      <x:c r="C99" s="53" t="str">
        <x:v>Webhook paid status</x:v>
      </x:c>
      <x:c r="D99" s="53" t="str">
        <x:v>P0</x:v>
      </x:c>
      <x:c r="E99" s="53" t="str">
        <x:v>Development</x:v>
      </x:c>
      <x:c r="F99" s="53" t="str">
        <x:v>Stripe/Firebase</x:v>
      </x:c>
      <x:c r="G99" s="53" t="str">
        <x:v>Successful Stripe payment</x:v>
      </x:c>
      <x:c r="H99" s="53" t="str">
        <x:v>Inspect webhook delivery and stored order after completion.</x:v>
      </x:c>
      <x:c r="I99" s="53" t="str">
        <x:v>Webhook is verified and order becomes paid exactly once.</x:v>
      </x:c>
      <x:c r="J99" s="53" t="str">
        <x:v>Not Run</x:v>
      </x:c>
      <x:c r="K99" s="53" t="str"/>
      <x:c r="L99" s="53" t="str">
        <x:v>N/A</x:v>
      </x:c>
      <x:c r="M99" s="53" t="str"/>
      <x:c r="N99" s="53" t="str"/>
      <x:c r="O99" s="54" t="str"/>
      <x:c r="P99" s="53" t="str"/>
    </x:row>
    <x:row r="100" ht="50" customHeight="1">
      <x:c r="A100" s="53" t="str">
        <x:v>PAY-024</x:v>
      </x:c>
      <x:c r="B100" s="53" t="str">
        <x:v>Payment, tax &amp; fulfillment</x:v>
      </x:c>
      <x:c r="C100" s="53" t="str">
        <x:v>Webhook idempotency</x:v>
      </x:c>
      <x:c r="D100" s="53" t="str">
        <x:v>P0</x:v>
      </x:c>
      <x:c r="E100" s="53" t="str">
        <x:v>Development</x:v>
      </x:c>
      <x:c r="F100" s="53" t="str">
        <x:v>Stripe/Firebase</x:v>
      </x:c>
      <x:c r="G100" s="53" t="str">
        <x:v>Successful event exists</x:v>
      </x:c>
      <x:c r="H100" s="53" t="str">
        <x:v>Replay the same Stripe event.</x:v>
      </x:c>
      <x:c r="I100" s="53" t="str">
        <x:v>No duplicate order, email, inventory update, or accounting entry.</x:v>
      </x:c>
      <x:c r="J100" s="53" t="str">
        <x:v>Not Run</x:v>
      </x:c>
      <x:c r="K100" s="53" t="str"/>
      <x:c r="L100" s="53" t="str">
        <x:v>N/A</x:v>
      </x:c>
      <x:c r="M100" s="53" t="str"/>
      <x:c r="N100" s="53" t="str"/>
      <x:c r="O100" s="54" t="str"/>
      <x:c r="P100" s="53" t="str"/>
    </x:row>
    <x:row r="101" ht="50" customHeight="1">
      <x:c r="A101" s="53" t="str">
        <x:v>PAY-025</x:v>
      </x:c>
      <x:c r="B101" s="53" t="str">
        <x:v>Payment, tax &amp; fulfillment</x:v>
      </x:c>
      <x:c r="C101" s="53" t="str">
        <x:v>Server price tamper defense</x:v>
      </x:c>
      <x:c r="D101" s="53" t="str">
        <x:v>P0</x:v>
      </x:c>
      <x:c r="E101" s="53" t="str">
        <x:v>Development</x:v>
      </x:c>
      <x:c r="F101" s="53" t="str">
        <x:v>DevTools/API</x:v>
      </x:c>
      <x:c r="G101" s="53" t="str">
        <x:v>Test environment and known product price</x:v>
      </x:c>
      <x:c r="H101" s="53" t="str">
        <x:v>Alter client/cart price before creating checkout session.</x:v>
      </x:c>
      <x:c r="I101" s="53" t="str">
        <x:v>Server ignores/rejects tampered price and Stripe uses authoritative catalog price.</x:v>
      </x:c>
      <x:c r="J101" s="53" t="str">
        <x:v>Not Run</x:v>
      </x:c>
      <x:c r="K101" s="53" t="str"/>
      <x:c r="L101" s="53" t="str">
        <x:v>N/A</x:v>
      </x:c>
      <x:c r="M101" s="53" t="str"/>
      <x:c r="N101" s="53" t="str"/>
      <x:c r="O101" s="54" t="str"/>
      <x:c r="P101" s="53" t="str"/>
    </x:row>
    <x:row r="102" ht="50" customHeight="1">
      <x:c r="A102" s="53" t="str">
        <x:v>PAY-026</x:v>
      </x:c>
      <x:c r="B102" s="53" t="str">
        <x:v>Payment, tax &amp; fulfillment</x:v>
      </x:c>
      <x:c r="C102" s="53" t="str">
        <x:v>Promo percent</x:v>
      </x:c>
      <x:c r="D102" s="53" t="str">
        <x:v>P1</x:v>
      </x:c>
      <x:c r="E102" s="53" t="str">
        <x:v>Development</x:v>
      </x:c>
      <x:c r="F102" s="53" t="str">
        <x:v>Desktop + mobile</x:v>
      </x:c>
      <x:c r="G102" s="53" t="str">
        <x:v>Valid percent promo</x:v>
      </x:c>
      <x:c r="H102" s="53" t="str">
        <x:v>Apply valid code, wrong case, then remove it.</x:v>
      </x:c>
      <x:c r="I102" s="53" t="str">
        <x:v>Discount, tax, total, and usage rules calculate correctly.</x:v>
      </x:c>
      <x:c r="J102" s="53" t="str">
        <x:v>Not Run</x:v>
      </x:c>
      <x:c r="K102" s="53" t="str"/>
      <x:c r="L102" s="53" t="str">
        <x:v>N/A</x:v>
      </x:c>
      <x:c r="M102" s="53" t="str"/>
      <x:c r="N102" s="53" t="str"/>
      <x:c r="O102" s="54" t="str"/>
      <x:c r="P102" s="53" t="str"/>
    </x:row>
    <x:row r="103" ht="50" customHeight="1">
      <x:c r="A103" s="53" t="str">
        <x:v>PAY-027</x:v>
      </x:c>
      <x:c r="B103" s="53" t="str">
        <x:v>Payment, tax &amp; fulfillment</x:v>
      </x:c>
      <x:c r="C103" s="53" t="str">
        <x:v>Promo fixed amount</x:v>
      </x:c>
      <x:c r="D103" s="53" t="str">
        <x:v>P1</x:v>
      </x:c>
      <x:c r="E103" s="53" t="str">
        <x:v>Development</x:v>
      </x:c>
      <x:c r="F103" s="53" t="str">
        <x:v>Desktop + mobile</x:v>
      </x:c>
      <x:c r="G103" s="53" t="str">
        <x:v>Valid fixed promo</x:v>
      </x:c>
      <x:c r="H103" s="53" t="str">
        <x:v>Apply below and above discount value.</x:v>
      </x:c>
      <x:c r="I103" s="53" t="str">
        <x:v>Discount never makes merchandise total negative and totals remain accurate.</x:v>
      </x:c>
      <x:c r="J103" s="53" t="str">
        <x:v>Not Run</x:v>
      </x:c>
      <x:c r="K103" s="53" t="str"/>
      <x:c r="L103" s="53" t="str">
        <x:v>N/A</x:v>
      </x:c>
      <x:c r="M103" s="53" t="str"/>
      <x:c r="N103" s="53" t="str"/>
      <x:c r="O103" s="54" t="str"/>
      <x:c r="P103" s="53" t="str"/>
    </x:row>
    <x:row r="104" ht="50" customHeight="1">
      <x:c r="A104" s="53" t="str">
        <x:v>PAY-028</x:v>
      </x:c>
      <x:c r="B104" s="53" t="str">
        <x:v>Payment, tax &amp; fulfillment</x:v>
      </x:c>
      <x:c r="C104" s="53" t="str">
        <x:v>Promo free shipping</x:v>
      </x:c>
      <x:c r="D104" s="53" t="str">
        <x:v>P1</x:v>
      </x:c>
      <x:c r="E104" s="53" t="str">
        <x:v>Development</x:v>
      </x:c>
      <x:c r="F104" s="53" t="str">
        <x:v>Desktop + mobile</x:v>
      </x:c>
      <x:c r="G104" s="53" t="str">
        <x:v>Shipping-eligible cart and valid code</x:v>
      </x:c>
      <x:c r="H104" s="53" t="str">
        <x:v>Apply code before and after choosing shipping.</x:v>
      </x:c>
      <x:c r="I104" s="53" t="str">
        <x:v>Shipping becomes free only when eligibility requirements are met.</x:v>
      </x:c>
      <x:c r="J104" s="53" t="str">
        <x:v>Not Run</x:v>
      </x:c>
      <x:c r="K104" s="53" t="str"/>
      <x:c r="L104" s="53" t="str">
        <x:v>N/A</x:v>
      </x:c>
      <x:c r="M104" s="53" t="str"/>
      <x:c r="N104" s="53" t="str"/>
      <x:c r="O104" s="54" t="str"/>
      <x:c r="P104" s="53" t="str"/>
    </x:row>
    <x:row r="105" ht="50" customHeight="1">
      <x:c r="A105" s="53" t="str">
        <x:v>PAY-029</x:v>
      </x:c>
      <x:c r="B105" s="53" t="str">
        <x:v>Payment, tax &amp; fulfillment</x:v>
      </x:c>
      <x:c r="C105" s="53" t="str">
        <x:v>Promo restrictions</x:v>
      </x:c>
      <x:c r="D105" s="53" t="str">
        <x:v>P1</x:v>
      </x:c>
      <x:c r="E105" s="53" t="str">
        <x:v>Development</x:v>
      </x:c>
      <x:c r="F105" s="53" t="str">
        <x:v>Desktop + mobile</x:v>
      </x:c>
      <x:c r="G105" s="53" t="str">
        <x:v>Expired/minimum/one-use/capped promos</x:v>
      </x:c>
      <x:c r="H105" s="53" t="str">
        <x:v>Test each restriction and repeat one-use code.</x:v>
      </x:c>
      <x:c r="I105" s="53" t="str">
        <x:v>Invalid uses are rejected with specific, safe messages.</x:v>
      </x:c>
      <x:c r="J105" s="53" t="str">
        <x:v>Not Run</x:v>
      </x:c>
      <x:c r="K105" s="53" t="str"/>
      <x:c r="L105" s="53" t="str">
        <x:v>N/A</x:v>
      </x:c>
      <x:c r="M105" s="53" t="str"/>
      <x:c r="N105" s="53" t="str"/>
      <x:c r="O105" s="54" t="str"/>
      <x:c r="P105" s="53" t="str"/>
    </x:row>
    <x:row r="106" ht="50" customHeight="1">
      <x:c r="A106" s="53" t="str">
        <x:v>ACC-001</x:v>
      </x:c>
      <x:c r="B106" s="53" t="str">
        <x:v>Customer accounts</x:v>
      </x:c>
      <x:c r="C106" s="53" t="str">
        <x:v>Create account</x:v>
      </x:c>
      <x:c r="D106" s="53" t="str">
        <x:v>P0</x:v>
      </x:c>
      <x:c r="E106" s="53" t="str">
        <x:v>Development</x:v>
      </x:c>
      <x:c r="F106" s="53" t="str">
        <x:v>Desktop + mobile</x:v>
      </x:c>
      <x:c r="G106" s="53" t="str">
        <x:v>Unused test email</x:v>
      </x:c>
      <x:c r="H106" s="53" t="str">
        <x:v>Register with valid details and verify account state.</x:v>
      </x:c>
      <x:c r="I106" s="53" t="str">
        <x:v>Account is created, signed in, and profile is available.</x:v>
      </x:c>
      <x:c r="J106" s="53" t="str">
        <x:v>Not Run</x:v>
      </x:c>
      <x:c r="K106" s="53" t="str"/>
      <x:c r="L106" s="53" t="str">
        <x:v>N/A</x:v>
      </x:c>
      <x:c r="M106" s="53" t="str"/>
      <x:c r="N106" s="53" t="str"/>
      <x:c r="O106" s="54" t="str"/>
      <x:c r="P106" s="53" t="str"/>
    </x:row>
    <x:row r="107" ht="50" customHeight="1">
      <x:c r="A107" s="53" t="str">
        <x:v>ACC-002</x:v>
      </x:c>
      <x:c r="B107" s="53" t="str">
        <x:v>Customer accounts</x:v>
      </x:c>
      <x:c r="C107" s="53" t="str">
        <x:v>Create account validation</x:v>
      </x:c>
      <x:c r="D107" s="53" t="str">
        <x:v>P1</x:v>
      </x:c>
      <x:c r="E107" s="53" t="str">
        <x:v>Development</x:v>
      </x:c>
      <x:c r="F107" s="53" t="str">
        <x:v>Desktop + mobile</x:v>
      </x:c>
      <x:c r="G107" s="53" t="str">
        <x:v>Account page open</x:v>
      </x:c>
      <x:c r="H107" s="53" t="str">
        <x:v>Try duplicate email, weak password, mismatch, and missing fields.</x:v>
      </x:c>
      <x:c r="I107" s="53" t="str">
        <x:v>Specific errors display without exposing sensitive details.</x:v>
      </x:c>
      <x:c r="J107" s="53" t="str">
        <x:v>Not Run</x:v>
      </x:c>
      <x:c r="K107" s="53" t="str"/>
      <x:c r="L107" s="53" t="str">
        <x:v>N/A</x:v>
      </x:c>
      <x:c r="M107" s="53" t="str"/>
      <x:c r="N107" s="53" t="str"/>
      <x:c r="O107" s="54" t="str"/>
      <x:c r="P107" s="53" t="str"/>
    </x:row>
    <x:row r="108" ht="50" customHeight="1">
      <x:c r="A108" s="53" t="str">
        <x:v>ACC-003</x:v>
      </x:c>
      <x:c r="B108" s="53" t="str">
        <x:v>Customer accounts</x:v>
      </x:c>
      <x:c r="C108" s="53" t="str">
        <x:v>Sign in and sign out</x:v>
      </x:c>
      <x:c r="D108" s="53" t="str">
        <x:v>P0</x:v>
      </x:c>
      <x:c r="E108" s="53" t="str">
        <x:v>Development</x:v>
      </x:c>
      <x:c r="F108" s="53" t="str">
        <x:v>Desktop + mobile</x:v>
      </x:c>
      <x:c r="G108" s="53" t="str">
        <x:v>Existing test account</x:v>
      </x:c>
      <x:c r="H108" s="53" t="str">
        <x:v>Sign in, navigate, refresh, then sign out.</x:v>
      </x:c>
      <x:c r="I108" s="53" t="str">
        <x:v>Session persists as intended and sign-out removes protected access.</x:v>
      </x:c>
      <x:c r="J108" s="53" t="str">
        <x:v>Not Run</x:v>
      </x:c>
      <x:c r="K108" s="53" t="str"/>
      <x:c r="L108" s="53" t="str">
        <x:v>N/A</x:v>
      </x:c>
      <x:c r="M108" s="53" t="str"/>
      <x:c r="N108" s="53" t="str"/>
      <x:c r="O108" s="54" t="str"/>
      <x:c r="P108" s="53" t="str"/>
    </x:row>
    <x:row r="109" ht="50" customHeight="1">
      <x:c r="A109" s="53" t="str">
        <x:v>ACC-004</x:v>
      </x:c>
      <x:c r="B109" s="53" t="str">
        <x:v>Customer accounts</x:v>
      </x:c>
      <x:c r="C109" s="53" t="str">
        <x:v>Password reset</x:v>
      </x:c>
      <x:c r="D109" s="53" t="str">
        <x:v>P1</x:v>
      </x:c>
      <x:c r="E109" s="53" t="str">
        <x:v>Development</x:v>
      </x:c>
      <x:c r="F109" s="53" t="str">
        <x:v>Desktop + mobile</x:v>
      </x:c>
      <x:c r="G109" s="53" t="str">
        <x:v>Existing test email</x:v>
      </x:c>
      <x:c r="H109" s="53" t="str">
        <x:v>Request reset and inspect email/confirmation.</x:v>
      </x:c>
      <x:c r="I109" s="53" t="str">
        <x:v>One safe reset flow is sent and UI does not reveal unknown accounts.</x:v>
      </x:c>
      <x:c r="J109" s="53" t="str">
        <x:v>Not Run</x:v>
      </x:c>
      <x:c r="K109" s="53" t="str"/>
      <x:c r="L109" s="53" t="str">
        <x:v>N/A</x:v>
      </x:c>
      <x:c r="M109" s="53" t="str"/>
      <x:c r="N109" s="53" t="str"/>
      <x:c r="O109" s="54" t="str"/>
      <x:c r="P109" s="53" t="str"/>
    </x:row>
    <x:row r="110" ht="50" customHeight="1">
      <x:c r="A110" s="53" t="str">
        <x:v>ACC-005</x:v>
      </x:c>
      <x:c r="B110" s="53" t="str">
        <x:v>Customer accounts</x:v>
      </x:c>
      <x:c r="C110" s="53" t="str">
        <x:v>Edit profile</x:v>
      </x:c>
      <x:c r="D110" s="53" t="str">
        <x:v>P1</x:v>
      </x:c>
      <x:c r="E110" s="53" t="str">
        <x:v>Development</x:v>
      </x:c>
      <x:c r="F110" s="53" t="str">
        <x:v>Desktop + mobile</x:v>
      </x:c>
      <x:c r="G110" s="53" t="str">
        <x:v>Signed in</x:v>
      </x:c>
      <x:c r="H110" s="53" t="str">
        <x:v>Update name, phone, preferred pickup, city/address.</x:v>
      </x:c>
      <x:c r="I110" s="53" t="str">
        <x:v>Changes save and prefill checkout without corrupting order history.</x:v>
      </x:c>
      <x:c r="J110" s="53" t="str">
        <x:v>Not Run</x:v>
      </x:c>
      <x:c r="K110" s="53" t="str"/>
      <x:c r="L110" s="53" t="str">
        <x:v>N/A</x:v>
      </x:c>
      <x:c r="M110" s="53" t="str"/>
      <x:c r="N110" s="53" t="str"/>
      <x:c r="O110" s="54" t="str"/>
      <x:c r="P110" s="53" t="str"/>
    </x:row>
    <x:row r="111" ht="50" customHeight="1">
      <x:c r="A111" s="53" t="str">
        <x:v>ACC-006</x:v>
      </x:c>
      <x:c r="B111" s="53" t="str">
        <x:v>Customer accounts</x:v>
      </x:c>
      <x:c r="C111" s="53" t="str">
        <x:v>Claim recent order</x:v>
      </x:c>
      <x:c r="D111" s="53" t="str">
        <x:v>P1</x:v>
      </x:c>
      <x:c r="E111" s="53" t="str">
        <x:v>Development</x:v>
      </x:c>
      <x:c r="F111" s="53" t="str">
        <x:v>Desktop + mobile</x:v>
      </x:c>
      <x:c r="G111" s="53" t="str">
        <x:v>Guest order and matching account data</x:v>
      </x:c>
      <x:c r="H111" s="53" t="str">
        <x:v>Create/sign in with matching email/phone.</x:v>
      </x:c>
      <x:c r="I111" s="53" t="str">
        <x:v>Eligible order links once to the correct account.</x:v>
      </x:c>
      <x:c r="J111" s="53" t="str">
        <x:v>Not Run</x:v>
      </x:c>
      <x:c r="K111" s="53" t="str"/>
      <x:c r="L111" s="53" t="str">
        <x:v>N/A</x:v>
      </x:c>
      <x:c r="M111" s="53" t="str"/>
      <x:c r="N111" s="53" t="str"/>
      <x:c r="O111" s="54" t="str"/>
      <x:c r="P111" s="53" t="str"/>
    </x:row>
    <x:row r="112" ht="50" customHeight="1">
      <x:c r="A112" s="53" t="str">
        <x:v>ACC-007</x:v>
      </x:c>
      <x:c r="B112" s="53" t="str">
        <x:v>Customer accounts</x:v>
      </x:c>
      <x:c r="C112" s="53" t="str">
        <x:v>Purchase history</x:v>
      </x:c>
      <x:c r="D112" s="53" t="str">
        <x:v>P0</x:v>
      </x:c>
      <x:c r="E112" s="53" t="str">
        <x:v>Development</x:v>
      </x:c>
      <x:c r="F112" s="53" t="str">
        <x:v>Desktop + mobile</x:v>
      </x:c>
      <x:c r="G112" s="53" t="str">
        <x:v>Account has orders</x:v>
      </x:c>
      <x:c r="H112" s="53" t="str">
        <x:v>Open history and compare order cards to Firestore/admin.</x:v>
      </x:c>
      <x:c r="I112" s="53" t="str">
        <x:v>Order number, date, items, total, payment, status, and location match.</x:v>
      </x:c>
      <x:c r="J112" s="53" t="str">
        <x:v>Not Run</x:v>
      </x:c>
      <x:c r="K112" s="53" t="str"/>
      <x:c r="L112" s="53" t="str">
        <x:v>N/A</x:v>
      </x:c>
      <x:c r="M112" s="53" t="str"/>
      <x:c r="N112" s="53" t="str"/>
      <x:c r="O112" s="54" t="str"/>
      <x:c r="P112" s="53" t="str"/>
    </x:row>
    <x:row r="113" ht="50" customHeight="1">
      <x:c r="A113" s="53" t="str">
        <x:v>ACC-008</x:v>
      </x:c>
      <x:c r="B113" s="53" t="str">
        <x:v>Customer accounts</x:v>
      </x:c>
      <x:c r="C113" s="53" t="str">
        <x:v>Order details modal</x:v>
      </x:c>
      <x:c r="D113" s="53" t="str">
        <x:v>P1</x:v>
      </x:c>
      <x:c r="E113" s="53" t="str">
        <x:v>Development</x:v>
      </x:c>
      <x:c r="F113" s="53" t="str">
        <x:v>Desktop + mobile</x:v>
      </x:c>
      <x:c r="G113" s="53" t="str">
        <x:v>Order exists</x:v>
      </x:c>
      <x:c r="H113" s="53" t="str">
        <x:v>Open and close details; review all values.</x:v>
      </x:c>
      <x:c r="I113" s="53" t="str">
        <x:v>Correct order opens and modal is responsive/keyboard accessible.</x:v>
      </x:c>
      <x:c r="J113" s="53" t="str">
        <x:v>Not Run</x:v>
      </x:c>
      <x:c r="K113" s="53" t="str"/>
      <x:c r="L113" s="53" t="str">
        <x:v>N/A</x:v>
      </x:c>
      <x:c r="M113" s="53" t="str"/>
      <x:c r="N113" s="53" t="str"/>
      <x:c r="O113" s="54" t="str"/>
      <x:c r="P113" s="53" t="str"/>
    </x:row>
    <x:row r="114" ht="50" customHeight="1">
      <x:c r="A114" s="53" t="str">
        <x:v>ACC-009</x:v>
      </x:c>
      <x:c r="B114" s="53" t="str">
        <x:v>Customer accounts</x:v>
      </x:c>
      <x:c r="C114" s="53" t="str">
        <x:v>Edit pending quantity</x:v>
      </x:c>
      <x:c r="D114" s="53" t="str">
        <x:v>P0</x:v>
      </x:c>
      <x:c r="E114" s="53" t="str">
        <x:v>Development</x:v>
      </x:c>
      <x:c r="F114" s="53" t="str">
        <x:v>Desktop + mobile</x:v>
      </x:c>
      <x:c r="G114" s="53" t="str">
        <x:v>Eligible pending order</x:v>
      </x:c>
      <x:c r="H114" s="53" t="str">
        <x:v>Increase/decrease existing item and save.</x:v>
      </x:c>
      <x:c r="I114" s="53" t="str">
        <x:v>Order totals and admin view update safely.</x:v>
      </x:c>
      <x:c r="J114" s="53" t="str">
        <x:v>Not Run</x:v>
      </x:c>
      <x:c r="K114" s="53" t="str"/>
      <x:c r="L114" s="53" t="str">
        <x:v>N/A</x:v>
      </x:c>
      <x:c r="M114" s="53" t="str"/>
      <x:c r="N114" s="53" t="str"/>
      <x:c r="O114" s="54" t="str"/>
      <x:c r="P114" s="53" t="str"/>
    </x:row>
    <x:row r="115" ht="50" customHeight="1">
      <x:c r="A115" s="53" t="str">
        <x:v>ACC-010</x:v>
      </x:c>
      <x:c r="B115" s="53" t="str">
        <x:v>Customer accounts</x:v>
      </x:c>
      <x:c r="C115" s="53" t="str">
        <x:v>Add item to pending order</x:v>
      </x:c>
      <x:c r="D115" s="53" t="str">
        <x:v>P1</x:v>
      </x:c>
      <x:c r="E115" s="53" t="str">
        <x:v>Development</x:v>
      </x:c>
      <x:c r="F115" s="53" t="str">
        <x:v>Desktop + mobile</x:v>
      </x:c>
      <x:c r="G115" s="53" t="str">
        <x:v>Eligible pending order</x:v>
      </x:c>
      <x:c r="H115" s="53" t="str">
        <x:v>Use available edit/shop path to add a new product if supported.</x:v>
      </x:c>
      <x:c r="I115" s="53" t="str">
        <x:v>New item can be added only when business rules allow, with correct total/payment handling.</x:v>
      </x:c>
      <x:c r="J115" s="53" t="str">
        <x:v>Not Run</x:v>
      </x:c>
      <x:c r="K115" s="53" t="str"/>
      <x:c r="L115" s="53" t="str">
        <x:v>N/A</x:v>
      </x:c>
      <x:c r="M115" s="53" t="str"/>
      <x:c r="N115" s="53" t="str"/>
      <x:c r="O115" s="54" t="str"/>
      <x:c r="P115" s="53" t="str"/>
    </x:row>
    <x:row r="116" ht="50" customHeight="1">
      <x:c r="A116" s="53" t="str">
        <x:v>ACC-011</x:v>
      </x:c>
      <x:c r="B116" s="53" t="str">
        <x:v>Customer accounts</x:v>
      </x:c>
      <x:c r="C116" s="53" t="str">
        <x:v>Cancel pending order</x:v>
      </x:c>
      <x:c r="D116" s="53" t="str">
        <x:v>P0</x:v>
      </x:c>
      <x:c r="E116" s="53" t="str">
        <x:v>Development</x:v>
      </x:c>
      <x:c r="F116" s="53" t="str">
        <x:v>Desktop + mobile</x:v>
      </x:c>
      <x:c r="G116" s="53" t="str">
        <x:v>Cancelable pending order</x:v>
      </x:c>
      <x:c r="H116" s="53" t="str">
        <x:v>Cancel, confirm, refresh, inspect admin.</x:v>
      </x:c>
      <x:c r="I116" s="53" t="str">
        <x:v>Order is canceled once and cannot be processed as active.</x:v>
      </x:c>
      <x:c r="J116" s="53" t="str">
        <x:v>Not Run</x:v>
      </x:c>
      <x:c r="K116" s="53" t="str"/>
      <x:c r="L116" s="53" t="str">
        <x:v>N/A</x:v>
      </x:c>
      <x:c r="M116" s="53" t="str"/>
      <x:c r="N116" s="53" t="str"/>
      <x:c r="O116" s="54" t="str"/>
      <x:c r="P116" s="53" t="str"/>
    </x:row>
    <x:row r="117" ht="50" customHeight="1">
      <x:c r="A117" s="53" t="str">
        <x:v>ACC-012</x:v>
      </x:c>
      <x:c r="B117" s="53" t="str">
        <x:v>Customer accounts</x:v>
      </x:c>
      <x:c r="C117" s="53" t="str">
        <x:v>Prevent ineligible edit/cancel</x:v>
      </x:c>
      <x:c r="D117" s="53" t="str">
        <x:v>P0</x:v>
      </x:c>
      <x:c r="E117" s="53" t="str">
        <x:v>Development</x:v>
      </x:c>
      <x:c r="F117" s="53" t="str">
        <x:v>Desktop + mobile</x:v>
      </x:c>
      <x:c r="G117" s="53" t="str">
        <x:v>Paid/fulfilled/canceled order</x:v>
      </x:c>
      <x:c r="H117" s="53" t="str">
        <x:v>Attempt edit/cancel through UI and crafted request.</x:v>
      </x:c>
      <x:c r="I117" s="53" t="str">
        <x:v>Server and UI reject unauthorized state changes.</x:v>
      </x:c>
      <x:c r="J117" s="53" t="str">
        <x:v>Not Run</x:v>
      </x:c>
      <x:c r="K117" s="53" t="str"/>
      <x:c r="L117" s="53" t="str">
        <x:v>N/A</x:v>
      </x:c>
      <x:c r="M117" s="53" t="str"/>
      <x:c r="N117" s="53" t="str"/>
      <x:c r="O117" s="54" t="str"/>
      <x:c r="P117" s="53" t="str"/>
    </x:row>
    <x:row r="118" ht="50" customHeight="1">
      <x:c r="A118" s="53" t="str">
        <x:v>ACC-013</x:v>
      </x:c>
      <x:c r="B118" s="53" t="str">
        <x:v>Customer accounts</x:v>
      </x:c>
      <x:c r="C118" s="53" t="str">
        <x:v>Order again</x:v>
      </x:c>
      <x:c r="D118" s="53" t="str">
        <x:v>P1</x:v>
      </x:c>
      <x:c r="E118" s="53" t="str">
        <x:v>Development</x:v>
      </x:c>
      <x:c r="F118" s="53" t="str">
        <x:v>Desktop + mobile</x:v>
      </x:c>
      <x:c r="G118" s="53" t="str">
        <x:v>Historical order</x:v>
      </x:c>
      <x:c r="H118" s="53" t="str">
        <x:v>Choose Order Again and inspect cart.</x:v>
      </x:c>
      <x:c r="I118" s="53" t="str">
        <x:v>Available items/variants are added; unavailable products are clearly handled.</x:v>
      </x:c>
      <x:c r="J118" s="53" t="str">
        <x:v>Not Run</x:v>
      </x:c>
      <x:c r="K118" s="53" t="str"/>
      <x:c r="L118" s="53" t="str">
        <x:v>N/A</x:v>
      </x:c>
      <x:c r="M118" s="53" t="str"/>
      <x:c r="N118" s="53" t="str"/>
      <x:c r="O118" s="54" t="str"/>
      <x:c r="P118" s="53" t="str"/>
    </x:row>
    <x:row r="119" ht="50" customHeight="1">
      <x:c r="A119" s="53" t="str">
        <x:v>ACC-014</x:v>
      </x:c>
      <x:c r="B119" s="53" t="str">
        <x:v>Customer accounts</x:v>
      </x:c>
      <x:c r="C119" s="53" t="str">
        <x:v>Feedback</x:v>
      </x:c>
      <x:c r="D119" s="53" t="str">
        <x:v>P1</x:v>
      </x:c>
      <x:c r="E119" s="53" t="str">
        <x:v>Development</x:v>
      </x:c>
      <x:c r="F119" s="53" t="str">
        <x:v>Desktop + mobile</x:v>
      </x:c>
      <x:c r="G119" s="53" t="str">
        <x:v>Eligible fulfilled order</x:v>
      </x:c>
      <x:c r="H119" s="53" t="str">
        <x:v>Submit rating and answers; repeat submission.</x:v>
      </x:c>
      <x:c r="I119" s="53" t="str">
        <x:v>Feedback saves once and appears in admin with correct order/customer.</x:v>
      </x:c>
      <x:c r="J119" s="53" t="str">
        <x:v>Not Run</x:v>
      </x:c>
      <x:c r="K119" s="53" t="str"/>
      <x:c r="L119" s="53" t="str">
        <x:v>N/A</x:v>
      </x:c>
      <x:c r="M119" s="53" t="str"/>
      <x:c r="N119" s="53" t="str"/>
      <x:c r="O119" s="54" t="str"/>
      <x:c r="P119" s="53" t="str"/>
    </x:row>
    <x:row r="120" ht="50" customHeight="1">
      <x:c r="A120" s="53" t="str">
        <x:v>ACC-015</x:v>
      </x:c>
      <x:c r="B120" s="53" t="str">
        <x:v>Customer accounts</x:v>
      </x:c>
      <x:c r="C120" s="53" t="str">
        <x:v>Cross-account isolation</x:v>
      </x:c>
      <x:c r="D120" s="53" t="str">
        <x:v>P0</x:v>
      </x:c>
      <x:c r="E120" s="53" t="str">
        <x:v>Development</x:v>
      </x:c>
      <x:c r="F120" s="53" t="str">
        <x:v>Security</x:v>
      </x:c>
      <x:c r="G120" s="53" t="str">
        <x:v>Two test accounts</x:v>
      </x:c>
      <x:c r="H120" s="53" t="str">
        <x:v>Attempt to access another user's order/profile identifiers.</x:v>
      </x:c>
      <x:c r="I120" s="53" t="str">
        <x:v>Unauthorized reads/writes are denied by UI and Firestore rules.</x:v>
      </x:c>
      <x:c r="J120" s="53" t="str">
        <x:v>Not Run</x:v>
      </x:c>
      <x:c r="K120" s="53" t="str"/>
      <x:c r="L120" s="53" t="str">
        <x:v>N/A</x:v>
      </x:c>
      <x:c r="M120" s="53" t="str"/>
      <x:c r="N120" s="53" t="str"/>
      <x:c r="O120" s="54" t="str"/>
      <x:c r="P120" s="53" t="str"/>
    </x:row>
    <x:row r="121" ht="50" customHeight="1">
      <x:c r="A121" s="53" t="str">
        <x:v>NTF-001</x:v>
      </x:c>
      <x:c r="B121" s="53" t="str">
        <x:v>Notifications &amp; communications</x:v>
      </x:c>
      <x:c r="C121" s="53" t="str">
        <x:v>Product notification request</x:v>
      </x:c>
      <x:c r="D121" s="53" t="str">
        <x:v>P1</x:v>
      </x:c>
      <x:c r="E121" s="53" t="str">
        <x:v>Development</x:v>
      </x:c>
      <x:c r="F121" s="53" t="str">
        <x:v>Desktop + mobile</x:v>
      </x:c>
      <x:c r="G121" s="53" t="str">
        <x:v>Unavailable product</x:v>
      </x:c>
      <x:c r="H121" s="53" t="str">
        <x:v>Submit notify request and inspect admin/Firestore.</x:v>
      </x:c>
      <x:c r="I121" s="53" t="str">
        <x:v>Request contains correct product and contact data once.</x:v>
      </x:c>
      <x:c r="J121" s="53" t="str">
        <x:v>Not Run</x:v>
      </x:c>
      <x:c r="K121" s="53" t="str"/>
      <x:c r="L121" s="53" t="str">
        <x:v>N/A</x:v>
      </x:c>
      <x:c r="M121" s="53" t="str"/>
      <x:c r="N121" s="53" t="str"/>
      <x:c r="O121" s="54" t="str"/>
      <x:c r="P121" s="53" t="str"/>
    </x:row>
    <x:row r="122" ht="50" customHeight="1">
      <x:c r="A122" s="53" t="str">
        <x:v>NTF-002</x:v>
      </x:c>
      <x:c r="B122" s="53" t="str">
        <x:v>Notifications &amp; communications</x:v>
      </x:c>
      <x:c r="C122" s="53" t="str">
        <x:v>Availability email target</x:v>
      </x:c>
      <x:c r="D122" s="53" t="str">
        <x:v>P0</x:v>
      </x:c>
      <x:c r="E122" s="53" t="str">
        <x:v>Development</x:v>
      </x:c>
      <x:c r="F122" s="53" t="str">
        <x:v>Email</x:v>
      </x:c>
      <x:c r="G122" s="53" t="str">
        <x:v>Two users subscribed to different products</x:v>
      </x:c>
      <x:c r="H122" s="53" t="str">
        <x:v>Mark one product available through the approved admin action.</x:v>
      </x:c>
      <x:c r="I122" s="53" t="str">
        <x:v>Only subscribers to that product receive the availability email.</x:v>
      </x:c>
      <x:c r="J122" s="53" t="str">
        <x:v>Not Run</x:v>
      </x:c>
      <x:c r="K122" s="53" t="str"/>
      <x:c r="L122" s="53" t="str">
        <x:v>N/A</x:v>
      </x:c>
      <x:c r="M122" s="53" t="str"/>
      <x:c r="N122" s="53" t="str"/>
      <x:c r="O122" s="54" t="str"/>
      <x:c r="P122" s="53" t="str"/>
    </x:row>
    <x:row r="123" ht="50" customHeight="1">
      <x:c r="A123" s="53" t="str">
        <x:v>NTF-003</x:v>
      </x:c>
      <x:c r="B123" s="53" t="str">
        <x:v>Notifications &amp; communications</x:v>
      </x:c>
      <x:c r="C123" s="53" t="str">
        <x:v>No email on unrelated sync</x:v>
      </x:c>
      <x:c r="D123" s="53" t="str">
        <x:v>P0</x:v>
      </x:c>
      <x:c r="E123" s="53" t="str">
        <x:v>Development</x:v>
      </x:c>
      <x:c r="F123" s="53" t="str">
        <x:v>Email/Admin</x:v>
      </x:c>
      <x:c r="G123" s="53" t="str">
        <x:v>Product subscriptions exist</x:v>
      </x:c>
      <x:c r="H123" s="53" t="str">
        <x:v>Use price sync without changing availability.</x:v>
      </x:c>
      <x:c r="I123" s="53" t="str">
        <x:v>No availability email is sent and no product is toggled live.</x:v>
      </x:c>
      <x:c r="J123" s="53" t="str">
        <x:v>Not Run</x:v>
      </x:c>
      <x:c r="K123" s="53" t="str"/>
      <x:c r="L123" s="53" t="str">
        <x:v>N/A</x:v>
      </x:c>
      <x:c r="M123" s="53" t="str"/>
      <x:c r="N123" s="53" t="str"/>
      <x:c r="O123" s="54" t="str"/>
      <x:c r="P123" s="53" t="str"/>
    </x:row>
    <x:row r="124" ht="50" customHeight="1">
      <x:c r="A124" s="53" t="str">
        <x:v>NTF-004</x:v>
      </x:c>
      <x:c r="B124" s="53" t="str">
        <x:v>Notifications &amp; communications</x:v>
      </x:c>
      <x:c r="C124" s="53" t="str">
        <x:v>Email reminder</x:v>
      </x:c>
      <x:c r="D124" s="53" t="str">
        <x:v>P1</x:v>
      </x:c>
      <x:c r="E124" s="53" t="str">
        <x:v>Development</x:v>
      </x:c>
      <x:c r="F124" s="53" t="str">
        <x:v>Admin/Email</x:v>
      </x:c>
      <x:c r="G124" s="53" t="str">
        <x:v>Pending order with valid email</x:v>
      </x:c>
      <x:c r="H124" s="53" t="str">
        <x:v>Send reminder from active orders.</x:v>
      </x:c>
      <x:c r="I124" s="53" t="str">
        <x:v>One correctly branded reminder references the right order/location.</x:v>
      </x:c>
      <x:c r="J124" s="53" t="str">
        <x:v>Not Run</x:v>
      </x:c>
      <x:c r="K124" s="53" t="str"/>
      <x:c r="L124" s="53" t="str">
        <x:v>N/A</x:v>
      </x:c>
      <x:c r="M124" s="53" t="str"/>
      <x:c r="N124" s="53" t="str"/>
      <x:c r="O124" s="54" t="str"/>
      <x:c r="P124" s="53" t="str"/>
    </x:row>
    <x:row r="125" ht="50" customHeight="1">
      <x:c r="A125" s="53" t="str">
        <x:v>NTF-005</x:v>
      </x:c>
      <x:c r="B125" s="53" t="str">
        <x:v>Notifications &amp; communications</x:v>
      </x:c>
      <x:c r="C125" s="53" t="str">
        <x:v>WhatsApp reminder</x:v>
      </x:c>
      <x:c r="D125" s="53" t="str">
        <x:v>P1</x:v>
      </x:c>
      <x:c r="E125" s="53" t="str">
        <x:v>Development</x:v>
      </x:c>
      <x:c r="F125" s="53" t="str">
        <x:v>Desktop + mobile</x:v>
      </x:c>
      <x:c r="G125" s="53" t="str">
        <x:v>Pending order with phone</x:v>
      </x:c>
      <x:c r="H125" s="53" t="str">
        <x:v>Open WhatsApp reminder.</x:v>
      </x:c>
      <x:c r="I125" s="53" t="str">
        <x:v>Correct number and prefilled, accurate order message are used.</x:v>
      </x:c>
      <x:c r="J125" s="53" t="str">
        <x:v>Not Run</x:v>
      </x:c>
      <x:c r="K125" s="53" t="str"/>
      <x:c r="L125" s="53" t="str">
        <x:v>N/A</x:v>
      </x:c>
      <x:c r="M125" s="53" t="str"/>
      <x:c r="N125" s="53" t="str"/>
      <x:c r="O125" s="54" t="str"/>
      <x:c r="P125" s="53" t="str"/>
    </x:row>
    <x:row r="126" ht="50" customHeight="1">
      <x:c r="A126" s="53" t="str">
        <x:v>NTF-006</x:v>
      </x:c>
      <x:c r="B126" s="53" t="str">
        <x:v>Notifications &amp; communications</x:v>
      </x:c>
      <x:c r="C126" s="53" t="str">
        <x:v>Order confirmation email</x:v>
      </x:c>
      <x:c r="D126" s="53" t="str">
        <x:v>P0</x:v>
      </x:c>
      <x:c r="E126" s="53" t="str">
        <x:v>Development</x:v>
      </x:c>
      <x:c r="F126" s="53" t="str">
        <x:v>Email</x:v>
      </x:c>
      <x:c r="G126" s="53" t="str">
        <x:v>Complete pickup and Stripe test orders</x:v>
      </x:c>
      <x:c r="H126" s="53" t="str">
        <x:v>Inspect both emails.</x:v>
      </x:c>
      <x:c r="I126" s="53" t="str">
        <x:v>Order number, items, totals, payment, and fulfillment details are accurate.</x:v>
      </x:c>
      <x:c r="J126" s="53" t="str">
        <x:v>Not Run</x:v>
      </x:c>
      <x:c r="K126" s="53" t="str"/>
      <x:c r="L126" s="53" t="str">
        <x:v>N/A</x:v>
      </x:c>
      <x:c r="M126" s="53" t="str"/>
      <x:c r="N126" s="53" t="str"/>
      <x:c r="O126" s="54" t="str"/>
      <x:c r="P126" s="53" t="str"/>
    </x:row>
    <x:row r="127" ht="50" customHeight="1">
      <x:c r="A127" s="53" t="str">
        <x:v>NTF-007</x:v>
      </x:c>
      <x:c r="B127" s="53" t="str">
        <x:v>Notifications &amp; communications</x:v>
      </x:c>
      <x:c r="C127" s="53" t="str">
        <x:v>Email failure handling</x:v>
      </x:c>
      <x:c r="D127" s="53" t="str">
        <x:v>P1</x:v>
      </x:c>
      <x:c r="E127" s="53" t="str">
        <x:v>Development</x:v>
      </x:c>
      <x:c r="F127" s="53" t="str">
        <x:v>Functions</x:v>
      </x:c>
      <x:c r="G127" s="53" t="str">
        <x:v>Simulate email provider error</x:v>
      </x:c>
      <x:c r="H127" s="53" t="str">
        <x:v>Place order or send reminder.</x:v>
      </x:c>
      <x:c r="I127" s="53" t="str">
        <x:v>Order remains valid; error is logged and admin/customer receives safe feedback.</x:v>
      </x:c>
      <x:c r="J127" s="53" t="str">
        <x:v>Not Run</x:v>
      </x:c>
      <x:c r="K127" s="53" t="str"/>
      <x:c r="L127" s="53" t="str">
        <x:v>N/A</x:v>
      </x:c>
      <x:c r="M127" s="53" t="str"/>
      <x:c r="N127" s="53" t="str"/>
      <x:c r="O127" s="54" t="str"/>
      <x:c r="P127" s="53" t="str"/>
    </x:row>
    <x:row r="128" ht="50" customHeight="1">
      <x:c r="A128" s="53" t="str">
        <x:v>ADM-001</x:v>
      </x:c>
      <x:c r="B128" s="53" t="str">
        <x:v>Admin operations</x:v>
      </x:c>
      <x:c r="C128" s="53" t="str">
        <x:v>Admin access control</x:v>
      </x:c>
      <x:c r="D128" s="53" t="str">
        <x:v>P0</x:v>
      </x:c>
      <x:c r="E128" s="53" t="str">
        <x:v>Development</x:v>
      </x:c>
      <x:c r="F128" s="53" t="str">
        <x:v>Desktop + mobile</x:v>
      </x:c>
      <x:c r="G128" s="53" t="str">
        <x:v>Signed out/non-admin/admin accounts</x:v>
      </x:c>
      <x:c r="H128" s="53" t="str">
        <x:v>Attempt admin URL and sign in with each account.</x:v>
      </x:c>
      <x:c r="I128" s="53" t="str">
        <x:v>Only authorized admins can view or mutate admin data.</x:v>
      </x:c>
      <x:c r="J128" s="53" t="str">
        <x:v>Not Run</x:v>
      </x:c>
      <x:c r="K128" s="53" t="str"/>
      <x:c r="L128" s="53" t="str">
        <x:v>N/A</x:v>
      </x:c>
      <x:c r="M128" s="53" t="str"/>
      <x:c r="N128" s="53" t="str"/>
      <x:c r="O128" s="54" t="str"/>
      <x:c r="P128" s="53" t="str"/>
    </x:row>
    <x:row r="129" ht="50" customHeight="1">
      <x:c r="A129" s="53" t="str">
        <x:v>ADM-002</x:v>
      </x:c>
      <x:c r="B129" s="53" t="str">
        <x:v>Admin operations</x:v>
      </x:c>
      <x:c r="C129" s="53" t="str">
        <x:v>Admin navigation</x:v>
      </x:c>
      <x:c r="D129" s="53" t="str">
        <x:v>P1</x:v>
      </x:c>
      <x:c r="E129" s="53" t="str">
        <x:v>Development</x:v>
      </x:c>
      <x:c r="F129" s="53" t="str">
        <x:v>Desktop + tablet</x:v>
      </x:c>
      <x:c r="G129" s="53" t="str">
        <x:v>Admin signed in</x:v>
      </x:c>
      <x:c r="H129" s="53" t="str">
        <x:v>Open every sidebar section and return to Orders.</x:v>
      </x:c>
      <x:c r="I129" s="53" t="str">
        <x:v>All sections render, active state is correct, no content is hidden by navigation.</x:v>
      </x:c>
      <x:c r="J129" s="53" t="str">
        <x:v>Not Run</x:v>
      </x:c>
      <x:c r="K129" s="53" t="str"/>
      <x:c r="L129" s="53" t="str">
        <x:v>N/A</x:v>
      </x:c>
      <x:c r="M129" s="53" t="str"/>
      <x:c r="N129" s="53" t="str"/>
      <x:c r="O129" s="54" t="str"/>
      <x:c r="P129" s="53" t="str"/>
    </x:row>
    <x:row r="130" ht="50" customHeight="1">
      <x:c r="A130" s="53" t="str">
        <x:v>ADM-003</x:v>
      </x:c>
      <x:c r="B130" s="53" t="str">
        <x:v>Admin operations</x:v>
      </x:c>
      <x:c r="C130" s="53" t="str">
        <x:v>Summary metrics</x:v>
      </x:c>
      <x:c r="D130" s="53" t="str">
        <x:v>P1</x:v>
      </x:c>
      <x:c r="E130" s="53" t="str">
        <x:v>Development</x:v>
      </x:c>
      <x:c r="F130" s="53" t="str">
        <x:v>Desktop</x:v>
      </x:c>
      <x:c r="G130" s="53" t="str">
        <x:v>Admin data loaded</x:v>
      </x:c>
      <x:c r="H130" s="53" t="str">
        <x:v>Reconcile total orders, pending, fulfilled, revenue, boxes, products live, subscribers.</x:v>
      </x:c>
      <x:c r="I130" s="53" t="str">
        <x:v>Cards match source data and definitions.</x:v>
      </x:c>
      <x:c r="J130" s="53" t="str">
        <x:v>Not Run</x:v>
      </x:c>
      <x:c r="K130" s="53" t="str"/>
      <x:c r="L130" s="53" t="str">
        <x:v>N/A</x:v>
      </x:c>
      <x:c r="M130" s="53" t="str"/>
      <x:c r="N130" s="53" t="str"/>
      <x:c r="O130" s="54" t="str"/>
      <x:c r="P130" s="53" t="str"/>
    </x:row>
    <x:row r="131" ht="50" customHeight="1">
      <x:c r="A131" s="53" t="str">
        <x:v>ADM-004</x:v>
      </x:c>
      <x:c r="B131" s="53" t="str">
        <x:v>Admin operations</x:v>
      </x:c>
      <x:c r="C131" s="53" t="str">
        <x:v>Active orders</x:v>
      </x:c>
      <x:c r="D131" s="53" t="str">
        <x:v>P0</x:v>
      </x:c>
      <x:c r="E131" s="53" t="str">
        <x:v>Development</x:v>
      </x:c>
      <x:c r="F131" s="53" t="str">
        <x:v>Desktop</x:v>
      </x:c>
      <x:c r="G131" s="53" t="str">
        <x:v>Pending orders exist</x:v>
      </x:c>
      <x:c r="H131" s="53" t="str">
        <x:v>Search/filter by order, customer, location, date, and status.</x:v>
      </x:c>
      <x:c r="I131" s="53" t="str">
        <x:v>Only matching active orders display and counts recalculate.</x:v>
      </x:c>
      <x:c r="J131" s="53" t="str">
        <x:v>Not Run</x:v>
      </x:c>
      <x:c r="K131" s="53" t="str"/>
      <x:c r="L131" s="53" t="str">
        <x:v>N/A</x:v>
      </x:c>
      <x:c r="M131" s="53" t="str"/>
      <x:c r="N131" s="53" t="str"/>
      <x:c r="O131" s="54" t="str"/>
      <x:c r="P131" s="53" t="str"/>
    </x:row>
    <x:row r="132" ht="50" customHeight="1">
      <x:c r="A132" s="53" t="str">
        <x:v>ADM-005</x:v>
      </x:c>
      <x:c r="B132" s="53" t="str">
        <x:v>Admin operations</x:v>
      </x:c>
      <x:c r="C132" s="53" t="str">
        <x:v>Active item counts</x:v>
      </x:c>
      <x:c r="D132" s="53" t="str">
        <x:v>P1</x:v>
      </x:c>
      <x:c r="E132" s="53" t="str">
        <x:v>Development</x:v>
      </x:c>
      <x:c r="F132" s="53" t="str">
        <x:v>Desktop</x:v>
      </x:c>
      <x:c r="G132" s="53" t="str">
        <x:v>Active orders exist</x:v>
      </x:c>
      <x:c r="H132" s="53" t="str">
        <x:v>Sum product quantities manually and compare chips.</x:v>
      </x:c>
      <x:c r="I132" s="53" t="str">
        <x:v>Order, box, and item counts are accurate and readable.</x:v>
      </x:c>
      <x:c r="J132" s="53" t="str">
        <x:v>Not Run</x:v>
      </x:c>
      <x:c r="K132" s="53" t="str"/>
      <x:c r="L132" s="53" t="str">
        <x:v>N/A</x:v>
      </x:c>
      <x:c r="M132" s="53" t="str"/>
      <x:c r="N132" s="53" t="str"/>
      <x:c r="O132" s="54" t="str"/>
      <x:c r="P132" s="53" t="str"/>
    </x:row>
    <x:row r="133" ht="50" customHeight="1">
      <x:c r="A133" s="53" t="str">
        <x:v>ADM-006</x:v>
      </x:c>
      <x:c r="B133" s="53" t="str">
        <x:v>Admin operations</x:v>
      </x:c>
      <x:c r="C133" s="53" t="str">
        <x:v>Manual order</x:v>
      </x:c>
      <x:c r="D133" s="53" t="str">
        <x:v>P0</x:v>
      </x:c>
      <x:c r="E133" s="53" t="str">
        <x:v>Development</x:v>
      </x:c>
      <x:c r="F133" s="53" t="str">
        <x:v>Desktop</x:v>
      </x:c>
      <x:c r="G133" s="53" t="str">
        <x:v>Admin signed in</x:v>
      </x:c>
      <x:c r="H133" s="53" t="str">
        <x:v>Create a manual pickup order with multiple items.</x:v>
      </x:c>
      <x:c r="I133" s="53" t="str">
        <x:v>One valid order appears in active/admin/account flows with correct totals.</x:v>
      </x:c>
      <x:c r="J133" s="53" t="str">
        <x:v>Not Run</x:v>
      </x:c>
      <x:c r="K133" s="53" t="str"/>
      <x:c r="L133" s="53" t="str">
        <x:v>N/A</x:v>
      </x:c>
      <x:c r="M133" s="53" t="str"/>
      <x:c r="N133" s="53" t="str"/>
      <x:c r="O133" s="54" t="str"/>
      <x:c r="P133" s="53" t="str"/>
    </x:row>
    <x:row r="134" ht="50" customHeight="1">
      <x:c r="A134" s="53" t="str">
        <x:v>ADM-007</x:v>
      </x:c>
      <x:c r="B134" s="53" t="str">
        <x:v>Admin operations</x:v>
      </x:c>
      <x:c r="C134" s="53" t="str">
        <x:v>Edit active order</x:v>
      </x:c>
      <x:c r="D134" s="53" t="str">
        <x:v>P0</x:v>
      </x:c>
      <x:c r="E134" s="53" t="str">
        <x:v>Development</x:v>
      </x:c>
      <x:c r="F134" s="53" t="str">
        <x:v>Desktop</x:v>
      </x:c>
      <x:c r="G134" s="53" t="str">
        <x:v>Pending order</x:v>
      </x:c>
      <x:c r="H134" s="53" t="str">
        <x:v>Edit customer/items/quantities where allowed and save.</x:v>
      </x:c>
      <x:c r="I134" s="53" t="str">
        <x:v>Changes persist safely and totals/counts update.</x:v>
      </x:c>
      <x:c r="J134" s="53" t="str">
        <x:v>Not Run</x:v>
      </x:c>
      <x:c r="K134" s="53" t="str"/>
      <x:c r="L134" s="53" t="str">
        <x:v>N/A</x:v>
      </x:c>
      <x:c r="M134" s="53" t="str"/>
      <x:c r="N134" s="53" t="str"/>
      <x:c r="O134" s="54" t="str"/>
      <x:c r="P134" s="53" t="str"/>
    </x:row>
    <x:row r="135" ht="50" customHeight="1">
      <x:c r="A135" s="53" t="str">
        <x:v>ADM-008</x:v>
      </x:c>
      <x:c r="B135" s="53" t="str">
        <x:v>Admin operations</x:v>
      </x:c>
      <x:c r="C135" s="53" t="str">
        <x:v>Fulfill order</x:v>
      </x:c>
      <x:c r="D135" s="53" t="str">
        <x:v>P0</x:v>
      </x:c>
      <x:c r="E135" s="53" t="str">
        <x:v>Development</x:v>
      </x:c>
      <x:c r="F135" s="53" t="str">
        <x:v>Desktop</x:v>
      </x:c>
      <x:c r="G135" s="53" t="str">
        <x:v>Pending order</x:v>
      </x:c>
      <x:c r="H135" s="53" t="str">
        <x:v>Fulfill one order and inspect processed/all/accounting.</x:v>
      </x:c>
      <x:c r="I135" s="53" t="str">
        <x:v>Order leaves active list and is fulfilled exactly once.</x:v>
      </x:c>
      <x:c r="J135" s="53" t="str">
        <x:v>Not Run</x:v>
      </x:c>
      <x:c r="K135" s="53" t="str"/>
      <x:c r="L135" s="53" t="str">
        <x:v>N/A</x:v>
      </x:c>
      <x:c r="M135" s="53" t="str"/>
      <x:c r="N135" s="53" t="str"/>
      <x:c r="O135" s="54" t="str"/>
      <x:c r="P135" s="53" t="str"/>
    </x:row>
    <x:row r="136" ht="50" customHeight="1">
      <x:c r="A136" s="53" t="str">
        <x:v>ADM-009</x:v>
      </x:c>
      <x:c r="B136" s="53" t="str">
        <x:v>Admin operations</x:v>
      </x:c>
      <x:c r="C136" s="53" t="str">
        <x:v>Bulk fulfill</x:v>
      </x:c>
      <x:c r="D136" s="53" t="str">
        <x:v>P0</x:v>
      </x:c>
      <x:c r="E136" s="53" t="str">
        <x:v>Development</x:v>
      </x:c>
      <x:c r="F136" s="53" t="str">
        <x:v>Desktop</x:v>
      </x:c>
      <x:c r="G136" s="53" t="str">
        <x:v>Multiple filtered pending orders</x:v>
      </x:c>
      <x:c r="H136" s="53" t="str">
        <x:v>Select a subset and use bulk fulfill.</x:v>
      </x:c>
      <x:c r="I136" s="53" t="str">
        <x:v>Only selected/filtered eligible orders change state.</x:v>
      </x:c>
      <x:c r="J136" s="53" t="str">
        <x:v>Not Run</x:v>
      </x:c>
      <x:c r="K136" s="53" t="str"/>
      <x:c r="L136" s="53" t="str">
        <x:v>N/A</x:v>
      </x:c>
      <x:c r="M136" s="53" t="str"/>
      <x:c r="N136" s="53" t="str"/>
      <x:c r="O136" s="54" t="str"/>
      <x:c r="P136" s="53" t="str"/>
    </x:row>
    <x:row r="137" ht="50" customHeight="1">
      <x:c r="A137" s="53" t="str">
        <x:v>ADM-010</x:v>
      </x:c>
      <x:c r="B137" s="53" t="str">
        <x:v>Admin operations</x:v>
      </x:c>
      <x:c r="C137" s="53" t="str">
        <x:v>No show/cancel/reset</x:v>
      </x:c>
      <x:c r="D137" s="53" t="str">
        <x:v>P1</x:v>
      </x:c>
      <x:c r="E137" s="53" t="str">
        <x:v>Development</x:v>
      </x:c>
      <x:c r="F137" s="53" t="str">
        <x:v>Desktop</x:v>
      </x:c>
      <x:c r="G137" s="53" t="str">
        <x:v>Test orders</x:v>
      </x:c>
      <x:c r="H137" s="53" t="str">
        <x:v>Apply each action and confirm resulting lists/statuses.</x:v>
      </x:c>
      <x:c r="I137" s="53" t="str">
        <x:v>Transitions follow allowed state rules and are reversible only where intended.</x:v>
      </x:c>
      <x:c r="J137" s="53" t="str">
        <x:v>Not Run</x:v>
      </x:c>
      <x:c r="K137" s="53" t="str"/>
      <x:c r="L137" s="53" t="str">
        <x:v>N/A</x:v>
      </x:c>
      <x:c r="M137" s="53" t="str"/>
      <x:c r="N137" s="53" t="str"/>
      <x:c r="O137" s="54" t="str"/>
      <x:c r="P137" s="53" t="str"/>
    </x:row>
    <x:row r="138" ht="50" customHeight="1">
      <x:c r="A138" s="53" t="str">
        <x:v>ADM-011</x:v>
      </x:c>
      <x:c r="B138" s="53" t="str">
        <x:v>Admin operations</x:v>
      </x:c>
      <x:c r="C138" s="53" t="str">
        <x:v>Processed and all orders</x:v>
      </x:c>
      <x:c r="D138" s="53" t="str">
        <x:v>P1</x:v>
      </x:c>
      <x:c r="E138" s="53" t="str">
        <x:v>Development</x:v>
      </x:c>
      <x:c r="F138" s="53" t="str">
        <x:v>Desktop</x:v>
      </x:c>
      <x:c r="G138" s="53" t="str">
        <x:v>Orders in multiple states</x:v>
      </x:c>
      <x:c r="H138" s="53" t="str">
        <x:v>Search/filter/export and open details.</x:v>
      </x:c>
      <x:c r="I138" s="53" t="str">
        <x:v>All states display in the correct section with complete data.</x:v>
      </x:c>
      <x:c r="J138" s="53" t="str">
        <x:v>Not Run</x:v>
      </x:c>
      <x:c r="K138" s="53" t="str"/>
      <x:c r="L138" s="53" t="str">
        <x:v>N/A</x:v>
      </x:c>
      <x:c r="M138" s="53" t="str"/>
      <x:c r="N138" s="53" t="str"/>
      <x:c r="O138" s="54" t="str"/>
      <x:c r="P138" s="53" t="str"/>
    </x:row>
    <x:row r="139" ht="50" customHeight="1">
      <x:c r="A139" s="53" t="str">
        <x:v>ADM-012</x:v>
      </x:c>
      <x:c r="B139" s="53" t="str">
        <x:v>Admin operations</x:v>
      </x:c>
      <x:c r="C139" s="53" t="str">
        <x:v>Active Excel export</x:v>
      </x:c>
      <x:c r="D139" s="53" t="str">
        <x:v>P1</x:v>
      </x:c>
      <x:c r="E139" s="53" t="str">
        <x:v>Development</x:v>
      </x:c>
      <x:c r="F139" s="53" t="str">
        <x:v>Desktop</x:v>
      </x:c>
      <x:c r="G139" s="53" t="str">
        <x:v>Filtered active list</x:v>
      </x:c>
      <x:c r="H139" s="53" t="str">
        <x:v>Export and open workbook.</x:v>
      </x:c>
      <x:c r="I139" s="53" t="str">
        <x:v>Rows/columns match filtered orders and values are usable.</x:v>
      </x:c>
      <x:c r="J139" s="53" t="str">
        <x:v>Not Run</x:v>
      </x:c>
      <x:c r="K139" s="53" t="str"/>
      <x:c r="L139" s="53" t="str">
        <x:v>N/A</x:v>
      </x:c>
      <x:c r="M139" s="53" t="str"/>
      <x:c r="N139" s="53" t="str"/>
      <x:c r="O139" s="54" t="str"/>
      <x:c r="P139" s="53" t="str"/>
    </x:row>
    <x:row r="140" ht="50" customHeight="1">
      <x:c r="A140" s="53" t="str">
        <x:v>ADM-013</x:v>
      </x:c>
      <x:c r="B140" s="53" t="str">
        <x:v>Admin operations</x:v>
      </x:c>
      <x:c r="C140" s="53" t="str">
        <x:v>Print checklist content</x:v>
      </x:c>
      <x:c r="D140" s="53" t="str">
        <x:v>P0</x:v>
      </x:c>
      <x:c r="E140" s="53" t="str">
        <x:v>Development</x:v>
      </x:c>
      <x:c r="F140" s="53" t="str">
        <x:v>Print preview</x:v>
      </x:c>
      <x:c r="G140" s="53" t="str">
        <x:v>Active orders exist</x:v>
      </x:c>
      <x:c r="H140" s="53" t="str">
        <x:v>Print checklist and inspect headers/rows.</x:v>
      </x:c>
      <x:c r="I140" s="53" t="str">
        <x:v>Payment type checkboxes are present; How to Use and Revenue are absent; layout is legible.</x:v>
      </x:c>
      <x:c r="J140" s="53" t="str">
        <x:v>Not Run</x:v>
      </x:c>
      <x:c r="K140" s="53" t="str"/>
      <x:c r="L140" s="53" t="str">
        <x:v>N/A</x:v>
      </x:c>
      <x:c r="M140" s="53" t="str"/>
      <x:c r="N140" s="53" t="str"/>
      <x:c r="O140" s="54" t="str"/>
      <x:c r="P140" s="53" t="str"/>
    </x:row>
    <x:row r="141" ht="50" customHeight="1">
      <x:c r="A141" s="53" t="str">
        <x:v>ADM-014</x:v>
      </x:c>
      <x:c r="B141" s="53" t="str">
        <x:v>Admin operations</x:v>
      </x:c>
      <x:c r="C141" s="53" t="str">
        <x:v>Active columns</x:v>
      </x:c>
      <x:c r="D141" s="53" t="str">
        <x:v>P1</x:v>
      </x:c>
      <x:c r="E141" s="53" t="str">
        <x:v>Development</x:v>
      </x:c>
      <x:c r="F141" s="53" t="str">
        <x:v>Desktop</x:v>
      </x:c>
      <x:c r="G141" s="53" t="str">
        <x:v>Active orders open</x:v>
      </x:c>
      <x:c r="H141" s="53" t="str">
        <x:v>Inspect table and print output.</x:v>
      </x:c>
      <x:c r="I141" s="53" t="str">
        <x:v>Unneeded Payment and Status columns remain removed where requested without losing actions.</x:v>
      </x:c>
      <x:c r="J141" s="53" t="str">
        <x:v>Not Run</x:v>
      </x:c>
      <x:c r="K141" s="53" t="str"/>
      <x:c r="L141" s="53" t="str">
        <x:v>N/A</x:v>
      </x:c>
      <x:c r="M141" s="53" t="str"/>
      <x:c r="N141" s="53" t="str"/>
      <x:c r="O141" s="54" t="str"/>
      <x:c r="P141" s="53" t="str"/>
    </x:row>
    <x:row r="142" ht="50" customHeight="1">
      <x:c r="A142" s="53" t="str">
        <x:v>ADM-015</x:v>
      </x:c>
      <x:c r="B142" s="53" t="str">
        <x:v>Admin operations</x:v>
      </x:c>
      <x:c r="C142" s="53" t="str">
        <x:v>Add product collapsed</x:v>
      </x:c>
      <x:c r="D142" s="53" t="str">
        <x:v>P1</x:v>
      </x:c>
      <x:c r="E142" s="53" t="str">
        <x:v>Development</x:v>
      </x:c>
      <x:c r="F142" s="53" t="str">
        <x:v>Desktop</x:v>
      </x:c>
      <x:c r="G142" s="53" t="str">
        <x:v>Manage Products open</x:v>
      </x:c>
      <x:c r="H142" s="53" t="str">
        <x:v>Confirm form is hidden; open Add New Product, complete, save, cancel.</x:v>
      </x:c>
      <x:c r="I142" s="53" t="str">
        <x:v>Form appears only on request and saves/cancels predictably.</x:v>
      </x:c>
      <x:c r="J142" s="53" t="str">
        <x:v>Not Run</x:v>
      </x:c>
      <x:c r="K142" s="53" t="str"/>
      <x:c r="L142" s="53" t="str">
        <x:v>N/A</x:v>
      </x:c>
      <x:c r="M142" s="53" t="str"/>
      <x:c r="N142" s="53" t="str"/>
      <x:c r="O142" s="54" t="str"/>
      <x:c r="P142" s="53" t="str"/>
    </x:row>
    <x:row r="143" ht="50" customHeight="1">
      <x:c r="A143" s="53" t="str">
        <x:v>ADM-016</x:v>
      </x:c>
      <x:c r="B143" s="53" t="str">
        <x:v>Admin operations</x:v>
      </x:c>
      <x:c r="C143" s="53" t="str">
        <x:v>Product filters and compact cards</x:v>
      </x:c>
      <x:c r="D143" s="53" t="str">
        <x:v>P1</x:v>
      </x:c>
      <x:c r="E143" s="53" t="str">
        <x:v>Development</x:v>
      </x:c>
      <x:c r="F143" s="53" t="str">
        <x:v>Desktop</x:v>
      </x:c>
      <x:c r="G143" s="53" t="str">
        <x:v>Manage Products open</x:v>
      </x:c>
      <x:c r="H143" s="53" t="str">
        <x:v>Filter each category and scroll cards.</x:v>
      </x:c>
      <x:c r="I143" s="53" t="str">
        <x:v>Filters align, product cards stay compact, controls remain readable.</x:v>
      </x:c>
      <x:c r="J143" s="53" t="str">
        <x:v>Not Run</x:v>
      </x:c>
      <x:c r="K143" s="53" t="str"/>
      <x:c r="L143" s="53" t="str">
        <x:v>N/A</x:v>
      </x:c>
      <x:c r="M143" s="53" t="str"/>
      <x:c r="N143" s="53" t="str"/>
      <x:c r="O143" s="54" t="str"/>
      <x:c r="P143" s="53" t="str"/>
    </x:row>
    <x:row r="144" ht="50" customHeight="1">
      <x:c r="A144" s="53" t="str">
        <x:v>ADM-017</x:v>
      </x:c>
      <x:c r="B144" s="53" t="str">
        <x:v>Admin operations</x:v>
      </x:c>
      <x:c r="C144" s="53" t="str">
        <x:v>Edit product</x:v>
      </x:c>
      <x:c r="D144" s="53" t="str">
        <x:v>P0</x:v>
      </x:c>
      <x:c r="E144" s="53" t="str">
        <x:v>Development</x:v>
      </x:c>
      <x:c r="F144" s="53" t="str">
        <x:v>Desktop</x:v>
      </x:c>
      <x:c r="G144" s="53" t="str">
        <x:v>Test product</x:v>
      </x:c>
      <x:c r="H144" s="53" t="str">
        <x:v>Change one safe field, save, reload admin and shop.</x:v>
      </x:c>
      <x:c r="I144" s="53" t="str">
        <x:v>Only intended field changes and storefront reflects it.</x:v>
      </x:c>
      <x:c r="J144" s="53" t="str">
        <x:v>Not Run</x:v>
      </x:c>
      <x:c r="K144" s="53" t="str"/>
      <x:c r="L144" s="53" t="str">
        <x:v>N/A</x:v>
      </x:c>
      <x:c r="M144" s="53" t="str"/>
      <x:c r="N144" s="53" t="str"/>
      <x:c r="O144" s="54" t="str"/>
      <x:c r="P144" s="53" t="str"/>
    </x:row>
    <x:row r="145" ht="50" customHeight="1">
      <x:c r="A145" s="53" t="str">
        <x:v>ADM-018</x:v>
      </x:c>
      <x:c r="B145" s="53" t="str">
        <x:v>Admin operations</x:v>
      </x:c>
      <x:c r="C145" s="53" t="str">
        <x:v>Product availability toggle</x:v>
      </x:c>
      <x:c r="D145" s="53" t="str">
        <x:v>P0</x:v>
      </x:c>
      <x:c r="E145" s="53" t="str">
        <x:v>Development</x:v>
      </x:c>
      <x:c r="F145" s="53" t="str">
        <x:v>Desktop</x:v>
      </x:c>
      <x:c r="G145" s="53" t="str">
        <x:v>Test product unavailable</x:v>
      </x:c>
      <x:c r="H145" s="53" t="str">
        <x:v>Toggle live, save, reload shop; toggle off again.</x:v>
      </x:c>
      <x:c r="I145" s="53" t="str">
        <x:v>Only target product changes availability and notify workflow runs only when appropriate.</x:v>
      </x:c>
      <x:c r="J145" s="53" t="str">
        <x:v>Not Run</x:v>
      </x:c>
      <x:c r="K145" s="53" t="str"/>
      <x:c r="L145" s="53" t="str">
        <x:v>N/A</x:v>
      </x:c>
      <x:c r="M145" s="53" t="str"/>
      <x:c r="N145" s="53" t="str"/>
      <x:c r="O145" s="54" t="str"/>
      <x:c r="P145" s="53" t="str"/>
    </x:row>
    <x:row r="146" ht="50" customHeight="1">
      <x:c r="A146" s="53" t="str">
        <x:v>ADM-019</x:v>
      </x:c>
      <x:c r="B146" s="53" t="str">
        <x:v>Admin operations</x:v>
      </x:c>
      <x:c r="C146" s="53" t="str">
        <x:v>Sync prices isolation</x:v>
      </x:c>
      <x:c r="D146" s="53" t="str">
        <x:v>P0</x:v>
      </x:c>
      <x:c r="E146" s="53" t="str">
        <x:v>Development</x:v>
      </x:c>
      <x:c r="F146" s="53" t="str">
        <x:v>Desktop</x:v>
      </x:c>
      <x:c r="G146" s="53" t="str">
        <x:v>Mango products off and mixed catalog</x:v>
      </x:c>
      <x:c r="H146" s="53" t="str">
        <x:v>Record availability; run Sync Prices to Live Store; reload admin/shop.</x:v>
      </x:c>
      <x:c r="I146" s="53" t="str">
        <x:v>Prices sync as designed; availability flags, especially mangoes, do not change.</x:v>
      </x:c>
      <x:c r="J146" s="53" t="str">
        <x:v>Not Run</x:v>
      </x:c>
      <x:c r="K146" s="53" t="str"/>
      <x:c r="L146" s="53" t="str">
        <x:v>N/A</x:v>
      </x:c>
      <x:c r="M146" s="53" t="str"/>
      <x:c r="N146" s="53" t="str"/>
      <x:c r="O146" s="54" t="str"/>
      <x:c r="P146" s="53" t="str"/>
    </x:row>
    <x:row r="147" ht="50" customHeight="1">
      <x:c r="A147" s="53" t="str">
        <x:v>ADM-020</x:v>
      </x:c>
      <x:c r="B147" s="53" t="str">
        <x:v>Admin operations</x:v>
      </x:c>
      <x:c r="C147" s="53" t="str">
        <x:v>Product order/save</x:v>
      </x:c>
      <x:c r="D147" s="53" t="str">
        <x:v>P1</x:v>
      </x:c>
      <x:c r="E147" s="53" t="str">
        <x:v>Development</x:v>
      </x:c>
      <x:c r="F147" s="53" t="str">
        <x:v>Desktop</x:v>
      </x:c>
      <x:c r="G147" s="53" t="str">
        <x:v>Manage Products open</x:v>
      </x:c>
      <x:c r="H147" s="53" t="str">
        <x:v>Change display order and save.</x:v>
      </x:c>
      <x:c r="I147" s="53" t="str">
        <x:v>Only intended product ordering changes in storefront.</x:v>
      </x:c>
      <x:c r="J147" s="53" t="str">
        <x:v>Not Run</x:v>
      </x:c>
      <x:c r="K147" s="53" t="str"/>
      <x:c r="L147" s="53" t="str">
        <x:v>N/A</x:v>
      </x:c>
      <x:c r="M147" s="53" t="str"/>
      <x:c r="N147" s="53" t="str"/>
      <x:c r="O147" s="54" t="str"/>
      <x:c r="P147" s="53" t="str"/>
    </x:row>
    <x:row r="148" ht="50" customHeight="1">
      <x:c r="A148" s="53" t="str">
        <x:v>ADM-021</x:v>
      </x:c>
      <x:c r="B148" s="53" t="str">
        <x:v>Admin operations</x:v>
      </x:c>
      <x:c r="C148" s="53" t="str">
        <x:v>Hide product</x:v>
      </x:c>
      <x:c r="D148" s="53" t="str">
        <x:v>P1</x:v>
      </x:c>
      <x:c r="E148" s="53" t="str">
        <x:v>Development</x:v>
      </x:c>
      <x:c r="F148" s="53" t="str">
        <x:v>Desktop</x:v>
      </x:c>
      <x:c r="G148" s="53" t="str">
        <x:v>Test product</x:v>
      </x:c>
      <x:c r="H148" s="53" t="str">
        <x:v>Hide/unhide and reload shop.</x:v>
      </x:c>
      <x:c r="I148" s="53" t="str">
        <x:v>Hidden item is not purchasable/discoverable; unhide restores it.</x:v>
      </x:c>
      <x:c r="J148" s="53" t="str">
        <x:v>Not Run</x:v>
      </x:c>
      <x:c r="K148" s="53" t="str"/>
      <x:c r="L148" s="53" t="str">
        <x:v>N/A</x:v>
      </x:c>
      <x:c r="M148" s="53" t="str"/>
      <x:c r="N148" s="53" t="str"/>
      <x:c r="O148" s="54" t="str"/>
      <x:c r="P148" s="53" t="str"/>
    </x:row>
    <x:row r="149" ht="50" customHeight="1">
      <x:c r="A149" s="53" t="str">
        <x:v>ADM-022</x:v>
      </x:c>
      <x:c r="B149" s="53" t="str">
        <x:v>Admin operations</x:v>
      </x:c>
      <x:c r="C149" s="53" t="str">
        <x:v>Product image fields</x:v>
      </x:c>
      <x:c r="D149" s="53" t="str">
        <x:v>P0</x:v>
      </x:c>
      <x:c r="E149" s="53" t="str">
        <x:v>Development</x:v>
      </x:c>
      <x:c r="F149" s="53" t="str">
        <x:v>Desktop</x:v>
      </x:c>
      <x:c r="G149" s="53" t="str">
        <x:v>Manage Products edit</x:v>
      </x:c>
      <x:c r="H149" s="53" t="str">
        <x:v>Review primary/gallery path fields and save approved images.</x:v>
      </x:c>
      <x:c r="I149" s="53" t="str">
        <x:v>Valid paths persist, render, and do not overwrite unrelated galleries.</x:v>
      </x:c>
      <x:c r="J149" s="53" t="str">
        <x:v>Not Run</x:v>
      </x:c>
      <x:c r="K149" s="53" t="str"/>
      <x:c r="L149" s="53" t="str">
        <x:v>N/A</x:v>
      </x:c>
      <x:c r="M149" s="53" t="str"/>
      <x:c r="N149" s="53" t="str"/>
      <x:c r="O149" s="54" t="str"/>
      <x:c r="P149" s="53" t="str"/>
    </x:row>
    <x:row r="150" ht="50" customHeight="1">
      <x:c r="A150" s="53" t="str">
        <x:v>ADM-023</x:v>
      </x:c>
      <x:c r="B150" s="53" t="str">
        <x:v>Admin operations</x:v>
      </x:c>
      <x:c r="C150" s="53" t="str">
        <x:v>Customer accounts admin</x:v>
      </x:c>
      <x:c r="D150" s="53" t="str">
        <x:v>P1</x:v>
      </x:c>
      <x:c r="E150" s="53" t="str">
        <x:v>Development</x:v>
      </x:c>
      <x:c r="F150" s="53" t="str">
        <x:v>Desktop</x:v>
      </x:c>
      <x:c r="G150" s="53" t="str">
        <x:v>Accounts exist</x:v>
      </x:c>
      <x:c r="H150" s="53" t="str">
        <x:v>Search/export; inspect orders; test permitted deletion.</x:v>
      </x:c>
      <x:c r="I150" s="53" t="str">
        <x:v>Counts are accurate; only accounts with no orders can be deleted.</x:v>
      </x:c>
      <x:c r="J150" s="53" t="str">
        <x:v>Not Run</x:v>
      </x:c>
      <x:c r="K150" s="53" t="str"/>
      <x:c r="L150" s="53" t="str">
        <x:v>N/A</x:v>
      </x:c>
      <x:c r="M150" s="53" t="str"/>
      <x:c r="N150" s="53" t="str"/>
      <x:c r="O150" s="54" t="str"/>
      <x:c r="P150" s="53" t="str"/>
    </x:row>
    <x:row r="151" ht="50" customHeight="1">
      <x:c r="A151" s="53" t="str">
        <x:v>ADM-024</x:v>
      </x:c>
      <x:c r="B151" s="53" t="str">
        <x:v>Admin operations</x:v>
      </x:c>
      <x:c r="C151" s="53" t="str">
        <x:v>Feedback admin</x:v>
      </x:c>
      <x:c r="D151" s="53" t="str">
        <x:v>P1</x:v>
      </x:c>
      <x:c r="E151" s="53" t="str">
        <x:v>Development</x:v>
      </x:c>
      <x:c r="F151" s="53" t="str">
        <x:v>Desktop</x:v>
      </x:c>
      <x:c r="G151" s="53" t="str">
        <x:v>Feedback exists</x:v>
      </x:c>
      <x:c r="H151" s="53" t="str">
        <x:v>Filter/search by rating/location/product and inspect summary.</x:v>
      </x:c>
      <x:c r="I151" s="53" t="str">
        <x:v>Summary and rows match submissions and remain readable.</x:v>
      </x:c>
      <x:c r="J151" s="53" t="str">
        <x:v>Not Run</x:v>
      </x:c>
      <x:c r="K151" s="53" t="str"/>
      <x:c r="L151" s="53" t="str">
        <x:v>N/A</x:v>
      </x:c>
      <x:c r="M151" s="53" t="str"/>
      <x:c r="N151" s="53" t="str"/>
      <x:c r="O151" s="54" t="str"/>
      <x:c r="P151" s="53" t="str"/>
    </x:row>
    <x:row r="152" ht="50" customHeight="1">
      <x:c r="A152" s="53" t="str">
        <x:v>ADM-025</x:v>
      </x:c>
      <x:c r="B152" s="53" t="str">
        <x:v>Admin operations</x:v>
      </x:c>
      <x:c r="C152" s="53" t="str">
        <x:v>Subscribers admin</x:v>
      </x:c>
      <x:c r="D152" s="53" t="str">
        <x:v>P1</x:v>
      </x:c>
      <x:c r="E152" s="53" t="str">
        <x:v>Development</x:v>
      </x:c>
      <x:c r="F152" s="53" t="str">
        <x:v>Desktop</x:v>
      </x:c>
      <x:c r="G152" s="53" t="str">
        <x:v>Subscribers exist</x:v>
      </x:c>
      <x:c r="H152" s="53" t="str">
        <x:v>Search/export/delete approved test subscriber.</x:v>
      </x:c>
      <x:c r="I152" s="53" t="str">
        <x:v>Data is accurate and deletion targets only selected record.</x:v>
      </x:c>
      <x:c r="J152" s="53" t="str">
        <x:v>Not Run</x:v>
      </x:c>
      <x:c r="K152" s="53" t="str"/>
      <x:c r="L152" s="53" t="str">
        <x:v>N/A</x:v>
      </x:c>
      <x:c r="M152" s="53" t="str"/>
      <x:c r="N152" s="53" t="str"/>
      <x:c r="O152" s="54" t="str"/>
      <x:c r="P152" s="53" t="str"/>
    </x:row>
    <x:row r="153" ht="50" customHeight="1">
      <x:c r="A153" s="53" t="str">
        <x:v>ADM-026</x:v>
      </x:c>
      <x:c r="B153" s="53" t="str">
        <x:v>Admin operations</x:v>
      </x:c>
      <x:c r="C153" s="53" t="str">
        <x:v>Promo codes admin</x:v>
      </x:c>
      <x:c r="D153" s="53" t="str">
        <x:v>P0</x:v>
      </x:c>
      <x:c r="E153" s="53" t="str">
        <x:v>Development</x:v>
      </x:c>
      <x:c r="F153" s="53" t="str">
        <x:v>Desktop</x:v>
      </x:c>
      <x:c r="G153" s="53" t="str">
        <x:v>Admin signed in</x:v>
      </x:c>
      <x:c r="H153" s="53" t="str">
        <x:v>Create/edit/disable percent, fixed, free shipping, minimum, cap, expiry, one-use codes.</x:v>
      </x:c>
      <x:c r="I153" s="53" t="str">
        <x:v>Rules persist and checkout enforces exactly what admin configured.</x:v>
      </x:c>
      <x:c r="J153" s="53" t="str">
        <x:v>Not Run</x:v>
      </x:c>
      <x:c r="K153" s="53" t="str"/>
      <x:c r="L153" s="53" t="str">
        <x:v>N/A</x:v>
      </x:c>
      <x:c r="M153" s="53" t="str"/>
      <x:c r="N153" s="53" t="str"/>
      <x:c r="O153" s="54" t="str"/>
      <x:c r="P153" s="53" t="str"/>
    </x:row>
    <x:row r="154" ht="50" customHeight="1">
      <x:c r="A154" s="53" t="str">
        <x:v>ADM-027</x:v>
      </x:c>
      <x:c r="B154" s="53" t="str">
        <x:v>Admin operations</x:v>
      </x:c>
      <x:c r="C154" s="53" t="str">
        <x:v>Refund controls</x:v>
      </x:c>
      <x:c r="D154" s="53" t="str">
        <x:v>P0</x:v>
      </x:c>
      <x:c r="E154" s="53" t="str">
        <x:v>Development</x:v>
      </x:c>
      <x:c r="F154" s="53" t="str">
        <x:v>Desktop</x:v>
      </x:c>
      <x:c r="G154" s="53" t="str">
        <x:v>Paid Stripe test order</x:v>
      </x:c>
      <x:c r="H154" s="53" t="str">
        <x:v>Inspect refund eligibility and test-mode refund flow.</x:v>
      </x:c>
      <x:c r="I154" s="53" t="str">
        <x:v>Customer refund UI remains hidden; admin refund is deliberate, auditable, and updates status.</x:v>
      </x:c>
      <x:c r="J154" s="53" t="str">
        <x:v>Not Run</x:v>
      </x:c>
      <x:c r="K154" s="53" t="str"/>
      <x:c r="L154" s="53" t="str">
        <x:v>N/A</x:v>
      </x:c>
      <x:c r="M154" s="53" t="str"/>
      <x:c r="N154" s="53" t="str"/>
      <x:c r="O154" s="54" t="str"/>
      <x:c r="P154" s="53" t="str"/>
    </x:row>
    <x:row r="155" ht="50" customHeight="1">
      <x:c r="A155" s="53" t="str">
        <x:v>ADM-028</x:v>
      </x:c>
      <x:c r="B155" s="53" t="str">
        <x:v>Admin operations</x:v>
      </x:c>
      <x:c r="C155" s="53" t="str">
        <x:v>Accounting batch dropdown</x:v>
      </x:c>
      <x:c r="D155" s="53" t="str">
        <x:v>P1</x:v>
      </x:c>
      <x:c r="E155" s="53" t="str">
        <x:v>Development</x:v>
      </x:c>
      <x:c r="F155" s="53" t="str">
        <x:v>Desktop</x:v>
      </x:c>
      <x:c r="G155" s="53" t="str">
        <x:v>Open/closed batches exist</x:v>
      </x:c>
      <x:c r="H155" s="53" t="str">
        <x:v>Use dropdowns to select open/closed batches and open breakdown.</x:v>
      </x:c>
      <x:c r="I155" s="53" t="str">
        <x:v>No long uncontrolled scroll; selected batch metrics are compact and correct.</x:v>
      </x:c>
      <x:c r="J155" s="53" t="str">
        <x:v>Not Run</x:v>
      </x:c>
      <x:c r="K155" s="53" t="str"/>
      <x:c r="L155" s="53" t="str">
        <x:v>N/A</x:v>
      </x:c>
      <x:c r="M155" s="53" t="str"/>
      <x:c r="N155" s="53" t="str"/>
      <x:c r="O155" s="54" t="str"/>
      <x:c r="P155" s="53" t="str"/>
    </x:row>
    <x:row r="156" ht="50" customHeight="1">
      <x:c r="A156" s="53" t="str">
        <x:v>ADM-029</x:v>
      </x:c>
      <x:c r="B156" s="53" t="str">
        <x:v>Admin operations</x:v>
      </x:c>
      <x:c r="C156" s="53" t="str">
        <x:v>Accounting save/close/reopen</x:v>
      </x:c>
      <x:c r="D156" s="53" t="str">
        <x:v>P0</x:v>
      </x:c>
      <x:c r="E156" s="53" t="str">
        <x:v>Development</x:v>
      </x:c>
      <x:c r="F156" s="53" t="str">
        <x:v>Desktop</x:v>
      </x:c>
      <x:c r="G156" s="53" t="str">
        <x:v>Test batch</x:v>
      </x:c>
      <x:c r="H156" s="53" t="str">
        <x:v>Save tally, close, locate closed, reopen, verify totals.</x:v>
      </x:c>
      <x:c r="I156" s="53" t="str">
        <x:v>State and totals persist without duplicate batches.</x:v>
      </x:c>
      <x:c r="J156" s="53" t="str">
        <x:v>Not Run</x:v>
      </x:c>
      <x:c r="K156" s="53" t="str"/>
      <x:c r="L156" s="53" t="str">
        <x:v>N/A</x:v>
      </x:c>
      <x:c r="M156" s="53" t="str"/>
      <x:c r="N156" s="53" t="str"/>
      <x:c r="O156" s="54" t="str"/>
      <x:c r="P156" s="53" t="str"/>
    </x:row>
    <x:row r="157" ht="50" customHeight="1">
      <x:c r="A157" s="53" t="str">
        <x:v>ADM-030</x:v>
      </x:c>
      <x:c r="B157" s="53" t="str">
        <x:v>Admin operations</x:v>
      </x:c>
      <x:c r="C157" s="53" t="str">
        <x:v>Accounting export</x:v>
      </x:c>
      <x:c r="D157" s="53" t="str">
        <x:v>P1</x:v>
      </x:c>
      <x:c r="E157" s="53" t="str">
        <x:v>Development</x:v>
      </x:c>
      <x:c r="F157" s="53" t="str">
        <x:v>Desktop</x:v>
      </x:c>
      <x:c r="G157" s="53" t="str">
        <x:v>Batch selected</x:v>
      </x:c>
      <x:c r="H157" s="53" t="str">
        <x:v>Export CSV and reconcile key fields.</x:v>
      </x:c>
      <x:c r="I157" s="53" t="str">
        <x:v>Export matches displayed batch and is usable for bookkeeping.</x:v>
      </x:c>
      <x:c r="J157" s="53" t="str">
        <x:v>Not Run</x:v>
      </x:c>
      <x:c r="K157" s="53" t="str"/>
      <x:c r="L157" s="53" t="str">
        <x:v>N/A</x:v>
      </x:c>
      <x:c r="M157" s="53" t="str"/>
      <x:c r="N157" s="53" t="str"/>
      <x:c r="O157" s="54" t="str"/>
      <x:c r="P157" s="53" t="str"/>
    </x:row>
    <x:row r="158" ht="50" customHeight="1">
      <x:c r="A158" s="53" t="str">
        <x:v>ADM-031</x:v>
      </x:c>
      <x:c r="B158" s="53" t="str">
        <x:v>Admin operations</x:v>
      </x:c>
      <x:c r="C158" s="53" t="str">
        <x:v>Pickup tally compact layout</x:v>
      </x:c>
      <x:c r="D158" s="53" t="str">
        <x:v>P1</x:v>
      </x:c>
      <x:c r="E158" s="53" t="str">
        <x:v>Development</x:v>
      </x:c>
      <x:c r="F158" s="53" t="str">
        <x:v>Desktop + tablet</x:v>
      </x:c>
      <x:c r="G158" s="53" t="str">
        <x:v>Tally open</x:v>
      </x:c>
      <x:c r="H158" s="53" t="str">
        <x:v>Review invoice, cash, Zelle, card, and balance inputs.</x:v>
      </x:c>
      <x:c r="I158" s="53" t="str">
        <x:v>Panels are compact, aligned, and all numeric calculations are accurate.</x:v>
      </x:c>
      <x:c r="J158" s="53" t="str">
        <x:v>Not Run</x:v>
      </x:c>
      <x:c r="K158" s="53" t="str"/>
      <x:c r="L158" s="53" t="str">
        <x:v>N/A</x:v>
      </x:c>
      <x:c r="M158" s="53" t="str"/>
      <x:c r="N158" s="53" t="str"/>
      <x:c r="O158" s="54" t="str"/>
      <x:c r="P158" s="53" t="str"/>
    </x:row>
    <x:row r="159" ht="50" customHeight="1">
      <x:c r="A159" s="53" t="str">
        <x:v>ADM-032</x:v>
      </x:c>
      <x:c r="B159" s="53" t="str">
        <x:v>Admin operations</x:v>
      </x:c>
      <x:c r="C159" s="53" t="str">
        <x:v>Growth analytics</x:v>
      </x:c>
      <x:c r="D159" s="53" t="str">
        <x:v>P2</x:v>
      </x:c>
      <x:c r="E159" s="53" t="str">
        <x:v>Development</x:v>
      </x:c>
      <x:c r="F159" s="53" t="str">
        <x:v>Desktop</x:v>
      </x:c>
      <x:c r="G159" s="53" t="str">
        <x:v>Analytics data available</x:v>
      </x:c>
      <x:c r="H159" s="53" t="str">
        <x:v>Open Growth Dashboard and compare key events/metrics with source.</x:v>
      </x:c>
      <x:c r="I159" s="53" t="str">
        <x:v>Charts/metrics load without exposing PII and definitions are clear.</x:v>
      </x:c>
      <x:c r="J159" s="53" t="str">
        <x:v>Not Run</x:v>
      </x:c>
      <x:c r="K159" s="53" t="str"/>
      <x:c r="L159" s="53" t="str">
        <x:v>N/A</x:v>
      </x:c>
      <x:c r="M159" s="53" t="str"/>
      <x:c r="N159" s="53" t="str"/>
      <x:c r="O159" s="54" t="str"/>
      <x:c r="P159" s="53" t="str"/>
    </x:row>
    <x:row r="160" ht="50" customHeight="1">
      <x:c r="A160" s="53" t="str">
        <x:v>SEO-001</x:v>
      </x:c>
      <x:c r="B160" s="53" t="str">
        <x:v>SEO &amp; content</x:v>
      </x:c>
      <x:c r="C160" s="53" t="str">
        <x:v>Unique page titles</x:v>
      </x:c>
      <x:c r="D160" s="53" t="str">
        <x:v>P1</x:v>
      </x:c>
      <x:c r="E160" s="53" t="str">
        <x:v>Development + production smoke</x:v>
      </x:c>
      <x:c r="F160" s="53" t="str">
        <x:v>Desktop</x:v>
      </x:c>
      <x:c r="G160" s="53" t="str">
        <x:v>Pages reachable</x:v>
      </x:c>
      <x:c r="H160" s="53" t="str">
        <x:v>Inspect title for every indexable page.</x:v>
      </x:c>
      <x:c r="I160" s="53" t="str">
        <x:v>Each title is unique, descriptive, and includes SHRISH appropriately.</x:v>
      </x:c>
      <x:c r="J160" s="53" t="str">
        <x:v>Not Run</x:v>
      </x:c>
      <x:c r="K160" s="53" t="str"/>
      <x:c r="L160" s="53" t="str">
        <x:v>N/A</x:v>
      </x:c>
      <x:c r="M160" s="53" t="str"/>
      <x:c r="N160" s="53" t="str"/>
      <x:c r="O160" s="54" t="str"/>
      <x:c r="P160" s="53" t="str"/>
    </x:row>
    <x:row r="161" ht="50" customHeight="1">
      <x:c r="A161" s="53" t="str">
        <x:v>SEO-002</x:v>
      </x:c>
      <x:c r="B161" s="53" t="str">
        <x:v>SEO &amp; content</x:v>
      </x:c>
      <x:c r="C161" s="53" t="str">
        <x:v>Meta descriptions</x:v>
      </x:c>
      <x:c r="D161" s="53" t="str">
        <x:v>P1</x:v>
      </x:c>
      <x:c r="E161" s="53" t="str">
        <x:v>Development + production smoke</x:v>
      </x:c>
      <x:c r="F161" s="53" t="str">
        <x:v>Desktop</x:v>
      </x:c>
      <x:c r="G161" s="53" t="str">
        <x:v>Pages reachable</x:v>
      </x:c>
      <x:c r="H161" s="53" t="str">
        <x:v>Inspect description tags for indexable pages.</x:v>
      </x:c>
      <x:c r="I161" s="53" t="str">
        <x:v>Descriptions are unique, accurate, and compelling without keyword stuffing.</x:v>
      </x:c>
      <x:c r="J161" s="53" t="str">
        <x:v>Not Run</x:v>
      </x:c>
      <x:c r="K161" s="53" t="str"/>
      <x:c r="L161" s="53" t="str">
        <x:v>N/A</x:v>
      </x:c>
      <x:c r="M161" s="53" t="str"/>
      <x:c r="N161" s="53" t="str"/>
      <x:c r="O161" s="54" t="str"/>
      <x:c r="P161" s="53" t="str"/>
    </x:row>
    <x:row r="162" ht="50" customHeight="1">
      <x:c r="A162" s="53" t="str">
        <x:v>SEO-003</x:v>
      </x:c>
      <x:c r="B162" s="53" t="str">
        <x:v>SEO &amp; content</x:v>
      </x:c>
      <x:c r="C162" s="53" t="str">
        <x:v>Self-referencing canonicals</x:v>
      </x:c>
      <x:c r="D162" s="53" t="str">
        <x:v>P0</x:v>
      </x:c>
      <x:c r="E162" s="53" t="str">
        <x:v>Production</x:v>
      </x:c>
      <x:c r="F162" s="53" t="str">
        <x:v>Production pages reachable</x:v>
      </x:c>
      <x:c r="G162" s="53" t="str">
        <x:v>Inspect canonical on Home, Shop, About, Contact, Recipes, Privacy, Refund, Terms.</x:v>
      </x:c>
      <x:c r="H162" s="53" t="str">
        <x:v>Each points to its preferred www.shrish.co URL; no duplicate/missing canonical.</x:v>
      </x:c>
      <x:c r="I162" s="53"/>
      <x:c r="J162" s="53" t="str">
        <x:v>Not Run</x:v>
      </x:c>
      <x:c r="K162" s="53" t="str"/>
      <x:c r="L162" s="53" t="str">
        <x:v>N/A</x:v>
      </x:c>
      <x:c r="M162" s="53" t="str"/>
      <x:c r="N162" s="53" t="str"/>
      <x:c r="O162" s="54" t="str"/>
      <x:c r="P162" s="53" t="str"/>
    </x:row>
    <x:row r="163" ht="50" customHeight="1">
      <x:c r="A163" s="53" t="str">
        <x:v>SEO-004</x:v>
      </x:c>
      <x:c r="B163" s="53" t="str">
        <x:v>SEO &amp; content</x:v>
      </x:c>
      <x:c r="C163" s="53" t="str">
        <x:v>Robots directives</x:v>
      </x:c>
      <x:c r="D163" s="53" t="str">
        <x:v>P0</x:v>
      </x:c>
      <x:c r="E163" s="53" t="str">
        <x:v>Development + production smoke</x:v>
      </x:c>
      <x:c r="F163" s="53" t="str">
        <x:v>Desktop</x:v>
      </x:c>
      <x:c r="G163" s="53" t="str">
        <x:v>Pages reachable</x:v>
      </x:c>
      <x:c r="H163" s="53" t="str">
        <x:v>Inspect robots meta and robots.txt.</x:v>
      </x:c>
      <x:c r="I163" s="53" t="str">
        <x:v>Public content is indexable; order, account, admin, and development are protected from indexing.</x:v>
      </x:c>
      <x:c r="J163" s="53" t="str">
        <x:v>Not Run</x:v>
      </x:c>
      <x:c r="K163" s="53" t="str"/>
      <x:c r="L163" s="53" t="str">
        <x:v>N/A</x:v>
      </x:c>
      <x:c r="M163" s="53" t="str"/>
      <x:c r="N163" s="53" t="str"/>
      <x:c r="O163" s="54" t="str"/>
      <x:c r="P163" s="53" t="str"/>
    </x:row>
    <x:row r="164" ht="50" customHeight="1">
      <x:c r="A164" s="53" t="str">
        <x:v>SEO-005</x:v>
      </x:c>
      <x:c r="B164" s="53" t="str">
        <x:v>SEO &amp; content</x:v>
      </x:c>
      <x:c r="C164" s="53" t="str">
        <x:v>Sitemap</x:v>
      </x:c>
      <x:c r="D164" s="53" t="str">
        <x:v>P1</x:v>
      </x:c>
      <x:c r="E164" s="53" t="str">
        <x:v>Production</x:v>
      </x:c>
      <x:c r="F164" s="53" t="str">
        <x:v>sitemap.xml reachable</x:v>
      </x:c>
      <x:c r="G164" s="53" t="str">
        <x:v>Open sitemap and verify listed URLs, protocol, host, and current public pages.</x:v>
      </x:c>
      <x:c r="H164" s="53" t="str">
        <x:v>Only canonical public URLs are listed and all return 200.</x:v>
      </x:c>
      <x:c r="I164" s="53"/>
      <x:c r="J164" s="53" t="str">
        <x:v>Not Run</x:v>
      </x:c>
      <x:c r="K164" s="53" t="str"/>
      <x:c r="L164" s="53" t="str">
        <x:v>N/A</x:v>
      </x:c>
      <x:c r="M164" s="53" t="str"/>
      <x:c r="N164" s="53" t="str"/>
      <x:c r="O164" s="54" t="str"/>
      <x:c r="P164" s="53" t="str"/>
    </x:row>
    <x:row r="165" ht="50" customHeight="1">
      <x:c r="A165" s="53" t="str">
        <x:v>SEO-006</x:v>
      </x:c>
      <x:c r="B165" s="53" t="str">
        <x:v>SEO &amp; content</x:v>
      </x:c>
      <x:c r="C165" s="53" t="str">
        <x:v>Structured data</x:v>
      </x:c>
      <x:c r="D165" s="53" t="str">
        <x:v>P1</x:v>
      </x:c>
      <x:c r="E165" s="53" t="str">
        <x:v>Production</x:v>
      </x:c>
      <x:c r="F165" s="53" t="str">
        <x:v>Public pages reachable</x:v>
      </x:c>
      <x:c r="G165" s="53" t="str">
        <x:v>Run Google rich result/schema validation on organization and product data.</x:v>
      </x:c>
      <x:c r="H165" s="53" t="str">
        <x:v>Valid schema uses accurate business/product information and prices/availability.</x:v>
      </x:c>
      <x:c r="I165" s="53"/>
      <x:c r="J165" s="53" t="str">
        <x:v>Not Run</x:v>
      </x:c>
      <x:c r="K165" s="53" t="str"/>
      <x:c r="L165" s="53" t="str">
        <x:v>N/A</x:v>
      </x:c>
      <x:c r="M165" s="53" t="str"/>
      <x:c r="N165" s="53" t="str"/>
      <x:c r="O165" s="54" t="str"/>
      <x:c r="P165" s="53" t="str"/>
    </x:row>
    <x:row r="166" ht="50" customHeight="1">
      <x:c r="A166" s="53" t="str">
        <x:v>SEO-007</x:v>
      </x:c>
      <x:c r="B166" s="53" t="str">
        <x:v>SEO &amp; content</x:v>
      </x:c>
      <x:c r="C166" s="53" t="str">
        <x:v>Open Graph/social metadata</x:v>
      </x:c>
      <x:c r="D166" s="53" t="str">
        <x:v>P2</x:v>
      </x:c>
      <x:c r="E166" s="53" t="str">
        <x:v>Production</x:v>
      </x:c>
      <x:c r="F166" s="53" t="str">
        <x:v>Public pages reachable</x:v>
      </x:c>
      <x:c r="G166" s="53" t="str">
        <x:v>Inspect og:title, description, URL, image and share preview.</x:v>
      </x:c>
      <x:c r="H166" s="53" t="str">
        <x:v>Share preview is branded, readable, and uses an approved image.</x:v>
      </x:c>
      <x:c r="I166" s="53"/>
      <x:c r="J166" s="53" t="str">
        <x:v>Not Run</x:v>
      </x:c>
      <x:c r="K166" s="53" t="str"/>
      <x:c r="L166" s="53" t="str">
        <x:v>N/A</x:v>
      </x:c>
      <x:c r="M166" s="53" t="str"/>
      <x:c r="N166" s="53" t="str"/>
      <x:c r="O166" s="54" t="str"/>
      <x:c r="P166" s="53" t="str"/>
    </x:row>
    <x:row r="167" ht="50" customHeight="1">
      <x:c r="A167" s="53" t="str">
        <x:v>SEO-008</x:v>
      </x:c>
      <x:c r="B167" s="53" t="str">
        <x:v>SEO &amp; content</x:v>
      </x:c>
      <x:c r="C167" s="53" t="str">
        <x:v>Heading structure</x:v>
      </x:c>
      <x:c r="D167" s="53" t="str">
        <x:v>P1</x:v>
      </x:c>
      <x:c r="E167" s="53" t="str">
        <x:v>Development + production smoke</x:v>
      </x:c>
      <x:c r="F167" s="53" t="str">
        <x:v>Desktop + mobile</x:v>
      </x:c>
      <x:c r="G167" s="53" t="str">
        <x:v>Pages reachable</x:v>
      </x:c>
      <x:c r="H167" s="53" t="str">
        <x:v>Inspect H1-H3 hierarchy and visible page names.</x:v>
      </x:c>
      <x:c r="I167" s="53" t="str">
        <x:v>One meaningful H1 per page and logical nested headings.</x:v>
      </x:c>
      <x:c r="J167" s="53" t="str">
        <x:v>Not Run</x:v>
      </x:c>
      <x:c r="K167" s="53" t="str"/>
      <x:c r="L167" s="53" t="str">
        <x:v>N/A</x:v>
      </x:c>
      <x:c r="M167" s="53" t="str"/>
      <x:c r="N167" s="53" t="str"/>
      <x:c r="O167" s="54" t="str"/>
      <x:c r="P167" s="53" t="str"/>
    </x:row>
    <x:row r="168" ht="50" customHeight="1">
      <x:c r="A168" s="53" t="str">
        <x:v>SEO-009</x:v>
      </x:c>
      <x:c r="B168" s="53" t="str">
        <x:v>SEO &amp; content</x:v>
      </x:c>
      <x:c r="C168" s="53" t="str">
        <x:v>Image alt text</x:v>
      </x:c>
      <x:c r="D168" s="53" t="str">
        <x:v>P1</x:v>
      </x:c>
      <x:c r="E168" s="53" t="str">
        <x:v>Development + production smoke</x:v>
      </x:c>
      <x:c r="F168" s="53" t="str">
        <x:v>Desktop + mobile</x:v>
      </x:c>
      <x:c r="G168" s="53" t="str">
        <x:v>Images loaded</x:v>
      </x:c>
      <x:c r="H168" s="53" t="str">
        <x:v>Inspect product, hero, recipe, and logo alt text.</x:v>
      </x:c>
      <x:c r="I168" s="53" t="str">
        <x:v>Alt text identifies meaningful images; decorative images are appropriately ignored.</x:v>
      </x:c>
      <x:c r="J168" s="53" t="str">
        <x:v>Not Run</x:v>
      </x:c>
      <x:c r="K168" s="53" t="str"/>
      <x:c r="L168" s="53" t="str">
        <x:v>N/A</x:v>
      </x:c>
      <x:c r="M168" s="53" t="str"/>
      <x:c r="N168" s="53" t="str"/>
      <x:c r="O168" s="54" t="str"/>
      <x:c r="P168" s="53" t="str"/>
    </x:row>
    <x:row r="169" ht="50" customHeight="1">
      <x:c r="A169" s="53" t="str">
        <x:v>SEO-010</x:v>
      </x:c>
      <x:c r="B169" s="53" t="str">
        <x:v>SEO &amp; content</x:v>
      </x:c>
      <x:c r="C169" s="53" t="str">
        <x:v>Broken links/assets</x:v>
      </x:c>
      <x:c r="D169" s="53" t="str">
        <x:v>P0</x:v>
      </x:c>
      <x:c r="E169" s="53" t="str">
        <x:v>Development + production smoke</x:v>
      </x:c>
      <x:c r="F169" s="53" t="str">
        <x:v>Crawler + browser</x:v>
      </x:c>
      <x:c r="G169" s="53" t="str">
        <x:v>Site reachable</x:v>
      </x:c>
      <x:c r="H169" s="53" t="str">
        <x:v>Crawl internal links and inspect network 404/500 responses.</x:v>
      </x:c>
      <x:c r="I169" s="53" t="str">
        <x:v>No broken internal links, missing scripts/styles, or missing product images.</x:v>
      </x:c>
      <x:c r="J169" s="53" t="str">
        <x:v>Not Run</x:v>
      </x:c>
      <x:c r="K169" s="53" t="str"/>
      <x:c r="L169" s="53" t="str">
        <x:v>N/A</x:v>
      </x:c>
      <x:c r="M169" s="53" t="str"/>
      <x:c r="N169" s="53" t="str"/>
      <x:c r="O169" s="54" t="str"/>
      <x:c r="P169" s="53" t="str"/>
    </x:row>
    <x:row r="170" ht="50" customHeight="1">
      <x:c r="A170" s="53" t="str">
        <x:v>SEO-011</x:v>
      </x:c>
      <x:c r="B170" s="53" t="str">
        <x:v>SEO &amp; content</x:v>
      </x:c>
      <x:c r="C170" s="53" t="str">
        <x:v>Legal content links</x:v>
      </x:c>
      <x:c r="D170" s="53" t="str">
        <x:v>P0</x:v>
      </x:c>
      <x:c r="E170" s="53" t="str">
        <x:v>Development + production smoke</x:v>
      </x:c>
      <x:c r="F170" s="53" t="str">
        <x:v>Desktop + mobile</x:v>
      </x:c>
      <x:c r="G170" s="53" t="str">
        <x:v>Checkout/footer open</x:v>
      </x:c>
      <x:c r="H170" s="53" t="str">
        <x:v>Open Privacy, Refund, Terms from footer and checkout agreement.</x:v>
      </x:c>
      <x:c r="I170" s="53" t="str">
        <x:v>Pages load, dates/contact/business terms are current, and links point to canonical pages.</x:v>
      </x:c>
      <x:c r="J170" s="53" t="str">
        <x:v>Not Run</x:v>
      </x:c>
      <x:c r="K170" s="53" t="str"/>
      <x:c r="L170" s="53" t="str">
        <x:v>N/A</x:v>
      </x:c>
      <x:c r="M170" s="53" t="str"/>
      <x:c r="N170" s="53" t="str"/>
      <x:c r="O170" s="54" t="str"/>
      <x:c r="P170" s="53" t="str"/>
    </x:row>
    <x:row r="171" ht="50" customHeight="1">
      <x:c r="A171" s="53" t="str">
        <x:v>SEO-012</x:v>
      </x:c>
      <x:c r="B171" s="53" t="str">
        <x:v>SEO &amp; content</x:v>
      </x:c>
      <x:c r="C171" s="53" t="str">
        <x:v>Content accuracy</x:v>
      </x:c>
      <x:c r="D171" s="53" t="str">
        <x:v>P1</x:v>
      </x:c>
      <x:c r="E171" s="53" t="str">
        <x:v>Development + production smoke</x:v>
      </x:c>
      <x:c r="F171" s="53" t="str">
        <x:v>Desktop + mobile</x:v>
      </x:c>
      <x:c r="G171" s="53" t="str">
        <x:v>Catalog and policies available</x:v>
      </x:c>
      <x:c r="H171" s="53" t="str">
        <x:v>Proofread pricing, product names, weights, pickup/shipping/payment statements, allergy notices.</x:v>
      </x:c>
      <x:c r="I171" s="53" t="str">
        <x:v>Copy matches actual business rules with no contradictory claims.</x:v>
      </x:c>
      <x:c r="J171" s="53" t="str">
        <x:v>Not Run</x:v>
      </x:c>
      <x:c r="K171" s="53" t="str"/>
      <x:c r="L171" s="53" t="str">
        <x:v>N/A</x:v>
      </x:c>
      <x:c r="M171" s="53" t="str"/>
      <x:c r="N171" s="53" t="str"/>
      <x:c r="O171" s="54" t="str"/>
      <x:c r="P171" s="53" t="str"/>
    </x:row>
    <x:row r="172" ht="50" customHeight="1">
      <x:c r="A172" s="53" t="str">
        <x:v>A11Y-001</x:v>
      </x:c>
      <x:c r="B172" s="53" t="str">
        <x:v>Accessibility &amp; responsive UI</x:v>
      </x:c>
      <x:c r="C172" s="53" t="str">
        <x:v>Keyboard navigation</x:v>
      </x:c>
      <x:c r="D172" s="53" t="str">
        <x:v>P1</x:v>
      </x:c>
      <x:c r="E172" s="53" t="str">
        <x:v>Development + production smoke</x:v>
      </x:c>
      <x:c r="F172" s="53" t="str">
        <x:v>Desktop</x:v>
      </x:c>
      <x:c r="G172" s="53" t="str">
        <x:v>Page loaded</x:v>
      </x:c>
      <x:c r="H172" s="53" t="str">
        <x:v>Use Tab/Shift+Tab/Enter/Space through header, filters, cards, forms, dialogs.</x:v>
      </x:c>
      <x:c r="I172" s="53" t="str">
        <x:v>Focus order is logical and all actions work without a mouse.</x:v>
      </x:c>
      <x:c r="J172" s="53" t="str">
        <x:v>Not Run</x:v>
      </x:c>
      <x:c r="K172" s="53" t="str"/>
      <x:c r="L172" s="53" t="str">
        <x:v>N/A</x:v>
      </x:c>
      <x:c r="M172" s="53" t="str"/>
      <x:c r="N172" s="53" t="str"/>
      <x:c r="O172" s="54" t="str"/>
      <x:c r="P172" s="53" t="str"/>
    </x:row>
    <x:row r="173" ht="50" customHeight="1">
      <x:c r="A173" s="53" t="str">
        <x:v>A11Y-002</x:v>
      </x:c>
      <x:c r="B173" s="53" t="str">
        <x:v>Accessibility &amp; responsive UI</x:v>
      </x:c>
      <x:c r="C173" s="53" t="str">
        <x:v>Visible focus</x:v>
      </x:c>
      <x:c r="D173" s="53" t="str">
        <x:v>P1</x:v>
      </x:c>
      <x:c r="E173" s="53" t="str">
        <x:v>Development + production smoke</x:v>
      </x:c>
      <x:c r="F173" s="53" t="str">
        <x:v>Desktop + mobile</x:v>
      </x:c>
      <x:c r="G173" s="53" t="str">
        <x:v>Keyboard navigation</x:v>
      </x:c>
      <x:c r="H173" s="53" t="str">
        <x:v>Observe focus on links, buttons, fields, thumbnails, dialog controls.</x:v>
      </x:c>
      <x:c r="I173" s="53" t="str">
        <x:v>Focus indicator is clearly visible against dark and light backgrounds.</x:v>
      </x:c>
      <x:c r="J173" s="53" t="str">
        <x:v>Not Run</x:v>
      </x:c>
      <x:c r="K173" s="53" t="str"/>
      <x:c r="L173" s="53" t="str">
        <x:v>N/A</x:v>
      </x:c>
      <x:c r="M173" s="53" t="str"/>
      <x:c r="N173" s="53" t="str"/>
      <x:c r="O173" s="54" t="str"/>
      <x:c r="P173" s="53" t="str"/>
    </x:row>
    <x:row r="174" ht="50" customHeight="1">
      <x:c r="A174" s="53" t="str">
        <x:v>A11Y-003</x:v>
      </x:c>
      <x:c r="B174" s="53" t="str">
        <x:v>Accessibility &amp; responsive UI</x:v>
      </x:c>
      <x:c r="C174" s="53" t="str">
        <x:v>Modal focus management</x:v>
      </x:c>
      <x:c r="D174" s="53" t="str">
        <x:v>P1</x:v>
      </x:c>
      <x:c r="E174" s="53" t="str">
        <x:v>Development + production smoke</x:v>
      </x:c>
      <x:c r="F174" s="53" t="str">
        <x:v>Desktop</x:v>
      </x:c>
      <x:c r="G174" s="53" t="str">
        <x:v>Open product/remove/order modal</x:v>
      </x:c>
      <x:c r="H174" s="53" t="str">
        <x:v>Tab through, press Escape, check focus after close.</x:v>
      </x:c>
      <x:c r="I174" s="53" t="str">
        <x:v>Focus is trapped inside while open and returns to the trigger.</x:v>
      </x:c>
      <x:c r="J174" s="53" t="str">
        <x:v>Not Run</x:v>
      </x:c>
      <x:c r="K174" s="53" t="str"/>
      <x:c r="L174" s="53" t="str">
        <x:v>N/A</x:v>
      </x:c>
      <x:c r="M174" s="53" t="str"/>
      <x:c r="N174" s="53" t="str"/>
      <x:c r="O174" s="54" t="str"/>
      <x:c r="P174" s="53" t="str"/>
    </x:row>
    <x:row r="175" ht="50" customHeight="1">
      <x:c r="A175" s="53" t="str">
        <x:v>A11Y-004</x:v>
      </x:c>
      <x:c r="B175" s="53" t="str">
        <x:v>Accessibility &amp; responsive UI</x:v>
      </x:c>
      <x:c r="C175" s="53" t="str">
        <x:v>Form labels and errors</x:v>
      </x:c>
      <x:c r="D175" s="53" t="str">
        <x:v>P0</x:v>
      </x:c>
      <x:c r="E175" s="53" t="str">
        <x:v>Development + production smoke</x:v>
      </x:c>
      <x:c r="F175" s="53" t="str">
        <x:v>Desktop + mobile</x:v>
      </x:c>
      <x:c r="G175" s="53" t="str">
        <x:v>Forms available</x:v>
      </x:c>
      <x:c r="H175" s="53" t="str">
        <x:v>Inspect accessible names; trigger validation errors with screen reader or accessibility tree.</x:v>
      </x:c>
      <x:c r="I175" s="53" t="str">
        <x:v>Every field has a persistent label and errors are programmatically associated.</x:v>
      </x:c>
      <x:c r="J175" s="53" t="str">
        <x:v>Not Run</x:v>
      </x:c>
      <x:c r="K175" s="53" t="str"/>
      <x:c r="L175" s="53" t="str">
        <x:v>N/A</x:v>
      </x:c>
      <x:c r="M175" s="53" t="str"/>
      <x:c r="N175" s="53" t="str"/>
      <x:c r="O175" s="54" t="str"/>
      <x:c r="P175" s="53" t="str"/>
    </x:row>
    <x:row r="176" ht="50" customHeight="1">
      <x:c r="A176" s="53" t="str">
        <x:v>A11Y-005</x:v>
      </x:c>
      <x:c r="B176" s="53" t="str">
        <x:v>Accessibility &amp; responsive UI</x:v>
      </x:c>
      <x:c r="C176" s="53" t="str">
        <x:v>Color contrast</x:v>
      </x:c>
      <x:c r="D176" s="53" t="str">
        <x:v>P1</x:v>
      </x:c>
      <x:c r="E176" s="53" t="str">
        <x:v>Development + production smoke</x:v>
      </x:c>
      <x:c r="F176" s="53" t="str">
        <x:v>Desktop + mobile</x:v>
      </x:c>
      <x:c r="G176" s="53" t="str">
        <x:v>Pages loaded</x:v>
      </x:c>
      <x:c r="H176" s="53" t="str">
        <x:v>Check gold, muted text, badges, buttons, form placeholders on black/cream surfaces.</x:v>
      </x:c>
      <x:c r="I176" s="53" t="str">
        <x:v>Essential text and controls meet WCAG AA contrast.</x:v>
      </x:c>
      <x:c r="J176" s="53" t="str">
        <x:v>Not Run</x:v>
      </x:c>
      <x:c r="K176" s="53" t="str"/>
      <x:c r="L176" s="53" t="str">
        <x:v>N/A</x:v>
      </x:c>
      <x:c r="M176" s="53" t="str"/>
      <x:c r="N176" s="53" t="str"/>
      <x:c r="O176" s="54" t="str"/>
      <x:c r="P176" s="53" t="str"/>
    </x:row>
    <x:row r="177" ht="50" customHeight="1">
      <x:c r="A177" s="53" t="str">
        <x:v>A11Y-006</x:v>
      </x:c>
      <x:c r="B177" s="53" t="str">
        <x:v>Accessibility &amp; responsive UI</x:v>
      </x:c>
      <x:c r="C177" s="53" t="str">
        <x:v>Zoom 200 percent</x:v>
      </x:c>
      <x:c r="D177" s="53" t="str">
        <x:v>P1</x:v>
      </x:c>
      <x:c r="E177" s="53" t="str">
        <x:v>Development + production smoke</x:v>
      </x:c>
      <x:c r="F177" s="53" t="str">
        <x:v>Desktop</x:v>
      </x:c>
      <x:c r="G177" s="53" t="str">
        <x:v>Browser at 200%</x:v>
      </x:c>
      <x:c r="H177" s="53" t="str">
        <x:v>Navigate home, shop, checkout, account, legal pages.</x:v>
      </x:c>
      <x:c r="I177" s="53" t="str">
        <x:v>Content reflows without loss, overlap, or horizontal scrolling.</x:v>
      </x:c>
      <x:c r="J177" s="53" t="str">
        <x:v>Not Run</x:v>
      </x:c>
      <x:c r="K177" s="53" t="str"/>
      <x:c r="L177" s="53" t="str">
        <x:v>N/A</x:v>
      </x:c>
      <x:c r="M177" s="53" t="str"/>
      <x:c r="N177" s="53" t="str"/>
      <x:c r="O177" s="54" t="str"/>
      <x:c r="P177" s="53" t="str"/>
    </x:row>
    <x:row r="178" ht="50" customHeight="1">
      <x:c r="A178" s="53" t="str">
        <x:v>A11Y-007</x:v>
      </x:c>
      <x:c r="B178" s="53" t="str">
        <x:v>Accessibility &amp; responsive UI</x:v>
      </x:c>
      <x:c r="C178" s="53" t="str">
        <x:v>Text size and long content</x:v>
      </x:c>
      <x:c r="D178" s="53" t="str">
        <x:v>P1</x:v>
      </x:c>
      <x:c r="E178" s="53" t="str">
        <x:v>Development + production smoke</x:v>
      </x:c>
      <x:c r="F178" s="53" t="str">
        <x:v>Mobile</x:v>
      </x:c>
      <x:c r="G178" s="53" t="str">
        <x:v>Largest system text/long product names</x:v>
      </x:c>
      <x:c r="H178" s="53" t="str">
        <x:v>Review navigation, cards, checkout, admin tables where applicable.</x:v>
      </x:c>
      <x:c r="I178" s="53" t="str">
        <x:v>Text wraps cleanly and controls retain stable dimensions.</x:v>
      </x:c>
      <x:c r="J178" s="53" t="str">
        <x:v>Not Run</x:v>
      </x:c>
      <x:c r="K178" s="53" t="str"/>
      <x:c r="L178" s="53" t="str">
        <x:v>N/A</x:v>
      </x:c>
      <x:c r="M178" s="53" t="str"/>
      <x:c r="N178" s="53" t="str"/>
      <x:c r="O178" s="54" t="str"/>
      <x:c r="P178" s="53" t="str"/>
    </x:row>
    <x:row r="179" ht="50" customHeight="1">
      <x:c r="A179" s="53" t="str">
        <x:v>A11Y-008</x:v>
      </x:c>
      <x:c r="B179" s="53" t="str">
        <x:v>Accessibility &amp; responsive UI</x:v>
      </x:c>
      <x:c r="C179" s="53" t="str">
        <x:v>Touch targets</x:v>
      </x:c>
      <x:c r="D179" s="53" t="str">
        <x:v>P1</x:v>
      </x:c>
      <x:c r="E179" s="53" t="str">
        <x:v>Development + production smoke</x:v>
      </x:c>
      <x:c r="F179" s="53" t="str">
        <x:v>Mobile</x:v>
      </x:c>
      <x:c r="G179" s="53" t="str">
        <x:v>Mobile viewport</x:v>
      </x:c>
      <x:c r="H179" s="53" t="str">
        <x:v>Measure/tap hamburger, cart, arrows, plus/minus, trash, thumbnails, filters.</x:v>
      </x:c>
      <x:c r="I179" s="53" t="str">
        <x:v>Targets are comfortably tappable and separated.</x:v>
      </x:c>
      <x:c r="J179" s="53" t="str">
        <x:v>Not Run</x:v>
      </x:c>
      <x:c r="K179" s="53" t="str"/>
      <x:c r="L179" s="53" t="str">
        <x:v>N/A</x:v>
      </x:c>
      <x:c r="M179" s="53" t="str"/>
      <x:c r="N179" s="53" t="str"/>
      <x:c r="O179" s="54" t="str"/>
      <x:c r="P179" s="53" t="str"/>
    </x:row>
    <x:row r="180" ht="50" customHeight="1">
      <x:c r="A180" s="53" t="str">
        <x:v>A11Y-009</x:v>
      </x:c>
      <x:c r="B180" s="53" t="str">
        <x:v>Accessibility &amp; responsive UI</x:v>
      </x:c>
      <x:c r="C180" s="53" t="str">
        <x:v>Safe-area handling</x:v>
      </x:c>
      <x:c r="D180" s="53" t="str">
        <x:v>P1</x:v>
      </x:c>
      <x:c r="E180" s="53" t="str">
        <x:v>Development + production smoke</x:v>
      </x:c>
      <x:c r="F180" s="53" t="str">
        <x:v>iPhone Safari</x:v>
      </x:c>
      <x:c r="G180" s="53" t="str">
        <x:v>Notched iPhone</x:v>
      </x:c>
      <x:c r="H180" s="53" t="str">
        <x:v>Review header, fixed CTA, floating widgets, and bottom browser chrome.</x:v>
      </x:c>
      <x:c r="I180" s="53" t="str">
        <x:v>No action is hidden under notches, home indicator, or browser controls.</x:v>
      </x:c>
      <x:c r="J180" s="53" t="str">
        <x:v>Not Run</x:v>
      </x:c>
      <x:c r="K180" s="53" t="str"/>
      <x:c r="L180" s="53" t="str">
        <x:v>N/A</x:v>
      </x:c>
      <x:c r="M180" s="53" t="str"/>
      <x:c r="N180" s="53" t="str"/>
      <x:c r="O180" s="54" t="str"/>
      <x:c r="P180" s="53" t="str"/>
    </x:row>
    <x:row r="181" ht="50" customHeight="1">
      <x:c r="A181" s="53" t="str">
        <x:v>A11Y-010</x:v>
      </x:c>
      <x:c r="B181" s="53" t="str">
        <x:v>Accessibility &amp; responsive UI</x:v>
      </x:c>
      <x:c r="C181" s="53" t="str">
        <x:v>Reduced motion</x:v>
      </x:c>
      <x:c r="D181" s="53" t="str">
        <x:v>P2</x:v>
      </x:c>
      <x:c r="E181" s="53" t="str">
        <x:v>Development + production smoke</x:v>
      </x:c>
      <x:c r="F181" s="53" t="str">
        <x:v>Desktop + mobile</x:v>
      </x:c>
      <x:c r="G181" s="53" t="str">
        <x:v>OS prefers-reduced-motion enabled</x:v>
      </x:c>
      <x:c r="H181" s="53" t="str">
        <x:v>Open homepage and interactions.</x:v>
      </x:c>
      <x:c r="I181" s="53" t="str">
        <x:v>Autoplay/animations are reduced or non-disruptive.</x:v>
      </x:c>
      <x:c r="J181" s="53" t="str">
        <x:v>Not Run</x:v>
      </x:c>
      <x:c r="K181" s="53" t="str"/>
      <x:c r="L181" s="53" t="str">
        <x:v>N/A</x:v>
      </x:c>
      <x:c r="M181" s="53" t="str"/>
      <x:c r="N181" s="53" t="str"/>
      <x:c r="O181" s="54" t="str"/>
      <x:c r="P181" s="53" t="str"/>
    </x:row>
    <x:row r="182" ht="50" customHeight="1">
      <x:c r="A182" s="53" t="str">
        <x:v>A11Y-011</x:v>
      </x:c>
      <x:c r="B182" s="53" t="str">
        <x:v>Accessibility &amp; responsive UI</x:v>
      </x:c>
      <x:c r="C182" s="53" t="str">
        <x:v>No horizontal overflow</x:v>
      </x:c>
      <x:c r="D182" s="53" t="str">
        <x:v>P0</x:v>
      </x:c>
      <x:c r="E182" s="53" t="str">
        <x:v>Development + production smoke</x:v>
      </x:c>
      <x:c r="F182" s="53" t="str">
        <x:v>360-430px mobile</x:v>
      </x:c>
      <x:c r="G182" s="53" t="str">
        <x:v>Each page open</x:v>
      </x:c>
      <x:c r="H182" s="53" t="str">
        <x:v>Swipe horizontally at top/middle/bottom.</x:v>
      </x:c>
      <x:c r="I182" s="53" t="str">
        <x:v>Page has no unintended horizontal movement or clipped off-screen controls.</x:v>
      </x:c>
      <x:c r="J182" s="53" t="str">
        <x:v>Not Run</x:v>
      </x:c>
      <x:c r="K182" s="53" t="str"/>
      <x:c r="L182" s="53" t="str">
        <x:v>N/A</x:v>
      </x:c>
      <x:c r="M182" s="53" t="str"/>
      <x:c r="N182" s="53" t="str"/>
      <x:c r="O182" s="54" t="str"/>
      <x:c r="P182" s="53" t="str"/>
    </x:row>
    <x:row r="183" ht="50" customHeight="1">
      <x:c r="A183" s="53" t="str">
        <x:v>A11Y-012</x:v>
      </x:c>
      <x:c r="B183" s="53" t="str">
        <x:v>Accessibility &amp; responsive UI</x:v>
      </x:c>
      <x:c r="C183" s="53" t="str">
        <x:v>Landscape mobile/tablet</x:v>
      </x:c>
      <x:c r="D183" s="53" t="str">
        <x:v>P2</x:v>
      </x:c>
      <x:c r="E183" s="53" t="str">
        <x:v>Development + production smoke</x:v>
      </x:c>
      <x:c r="F183" s="53" t="str">
        <x:v>Mobile landscape + tablet</x:v>
      </x:c>
      <x:c r="G183" s="53" t="str">
        <x:v>Rotate device</x:v>
      </x:c>
      <x:c r="H183" s="53" t="str">
        <x:v>Review header, modal, shop, and checkout.</x:v>
      </x:c>
      <x:c r="I183" s="53" t="str">
        <x:v>Layout adapts without requiring reload and remains usable.</x:v>
      </x:c>
      <x:c r="J183" s="53" t="str">
        <x:v>Not Run</x:v>
      </x:c>
      <x:c r="K183" s="53" t="str"/>
      <x:c r="L183" s="53" t="str">
        <x:v>N/A</x:v>
      </x:c>
      <x:c r="M183" s="53" t="str"/>
      <x:c r="N183" s="53" t="str"/>
      <x:c r="O183" s="54" t="str"/>
      <x:c r="P183" s="53" t="str"/>
    </x:row>
    <x:row r="184" ht="50" customHeight="1">
      <x:c r="A184" s="53" t="str">
        <x:v>PERF-001</x:v>
      </x:c>
      <x:c r="B184" s="53" t="str">
        <x:v>Performance, security &amp; analytics</x:v>
      </x:c>
      <x:c r="C184" s="53" t="str">
        <x:v>Console and network health</x:v>
      </x:c>
      <x:c r="D184" s="53" t="str">
        <x:v>P0</x:v>
      </x:c>
      <x:c r="E184" s="53" t="str">
        <x:v>Development + production smoke</x:v>
      </x:c>
      <x:c r="F184" s="53" t="str">
        <x:v>Desktop + mobile</x:v>
      </x:c>
      <x:c r="G184" s="53" t="str">
        <x:v>DevTools open</x:v>
      </x:c>
      <x:c r="H184" s="53" t="str">
        <x:v>Navigate all major flows and filter console/network errors.</x:v>
      </x:c>
      <x:c r="I184" s="53" t="str">
        <x:v>No uncaught errors, repeated failures, mixed content, or unexplained 4xx/5xx.</x:v>
      </x:c>
      <x:c r="J184" s="53" t="str">
        <x:v>Not Run</x:v>
      </x:c>
      <x:c r="K184" s="53" t="str"/>
      <x:c r="L184" s="53" t="str">
        <x:v>N/A</x:v>
      </x:c>
      <x:c r="M184" s="53" t="str"/>
      <x:c r="N184" s="53" t="str"/>
      <x:c r="O184" s="54" t="str"/>
      <x:c r="P184" s="53" t="str"/>
    </x:row>
    <x:row r="185" ht="50" customHeight="1">
      <x:c r="A185" s="53" t="str">
        <x:v>PERF-002</x:v>
      </x:c>
      <x:c r="B185" s="53" t="str">
        <x:v>Performance, security &amp; analytics</x:v>
      </x:c>
      <x:c r="C185" s="53" t="str">
        <x:v>Core Web Vitals</x:v>
      </x:c>
      <x:c r="D185" s="53" t="str">
        <x:v>P1</x:v>
      </x:c>
      <x:c r="E185" s="53" t="str">
        <x:v>Production</x:v>
      </x:c>
      <x:c r="F185" s="53" t="str">
        <x:v>Mobile + desktop</x:v>
      </x:c>
      <x:c r="G185" s="53" t="str">
        <x:v>Run Lighthouse/PageSpeed on Home, Shop, Checkout.</x:v>
      </x:c>
      <x:c r="H185" s="53" t="str">
        <x:v>LCP, CLS, and INP are within agreed thresholds or documented.</x:v>
      </x:c>
      <x:c r="I185" s="53"/>
      <x:c r="J185" s="53" t="str">
        <x:v>Not Run</x:v>
      </x:c>
      <x:c r="K185" s="53" t="str"/>
      <x:c r="L185" s="53" t="str">
        <x:v>N/A</x:v>
      </x:c>
      <x:c r="M185" s="53" t="str"/>
      <x:c r="N185" s="53" t="str"/>
      <x:c r="O185" s="54" t="str"/>
      <x:c r="P185" s="53" t="str"/>
    </x:row>
    <x:row r="186" ht="50" customHeight="1">
      <x:c r="A186" s="53" t="str">
        <x:v>PERF-003</x:v>
      </x:c>
      <x:c r="B186" s="53" t="str">
        <x:v>Performance, security &amp; analytics</x:v>
      </x:c>
      <x:c r="C186" s="53" t="str">
        <x:v>Image optimization</x:v>
      </x:c>
      <x:c r="D186" s="53" t="str">
        <x:v>P1</x:v>
      </x:c>
      <x:c r="E186" s="53" t="str">
        <x:v>Development + production smoke</x:v>
      </x:c>
      <x:c r="F186" s="53" t="str">
        <x:v>Desktop + mobile</x:v>
      </x:c>
      <x:c r="G186" s="53" t="str">
        <x:v>Network throttling</x:v>
      </x:c>
      <x:c r="H186" s="53" t="str">
        <x:v>Inspect dimensions, file sizes, lazy loading, and below-fold requests.</x:v>
      </x:c>
      <x:c r="I186" s="53" t="str">
        <x:v>Images are appropriately sized/compressed; below-fold assets lazy load.</x:v>
      </x:c>
      <x:c r="J186" s="53" t="str">
        <x:v>Not Run</x:v>
      </x:c>
      <x:c r="K186" s="53" t="str"/>
      <x:c r="L186" s="53" t="str">
        <x:v>N/A</x:v>
      </x:c>
      <x:c r="M186" s="53" t="str"/>
      <x:c r="N186" s="53" t="str"/>
      <x:c r="O186" s="54" t="str"/>
      <x:c r="P186" s="53" t="str"/>
    </x:row>
    <x:row r="187" ht="50" customHeight="1">
      <x:c r="A187" s="53" t="str">
        <x:v>PERF-004</x:v>
      </x:c>
      <x:c r="B187" s="53" t="str">
        <x:v>Performance, security &amp; analytics</x:v>
      </x:c>
      <x:c r="C187" s="53" t="str">
        <x:v>Service worker update</x:v>
      </x:c>
      <x:c r="D187" s="53" t="str">
        <x:v>P0</x:v>
      </x:c>
      <x:c r="E187" s="53" t="str">
        <x:v>Development + production smoke</x:v>
      </x:c>
      <x:c r="F187" s="53" t="str">
        <x:v>Desktop + mobile</x:v>
      </x:c>
      <x:c r="G187" s="53" t="str">
        <x:v>Old version cached</x:v>
      </x:c>
      <x:c r="H187" s="53" t="str">
        <x:v>Load old deployment, release new version, refresh/reopen.</x:v>
      </x:c>
      <x:c r="I187" s="53" t="str">
        <x:v>Customer receives new JS/CSS/catalog without a broken mixed-version state.</x:v>
      </x:c>
      <x:c r="J187" s="53" t="str">
        <x:v>Not Run</x:v>
      </x:c>
      <x:c r="K187" s="53" t="str"/>
      <x:c r="L187" s="53" t="str">
        <x:v>N/A</x:v>
      </x:c>
      <x:c r="M187" s="53" t="str"/>
      <x:c r="N187" s="53" t="str"/>
      <x:c r="O187" s="54" t="str"/>
      <x:c r="P187" s="53" t="str"/>
    </x:row>
    <x:row r="188" ht="50" customHeight="1">
      <x:c r="A188" s="53" t="str">
        <x:v>PERF-005</x:v>
      </x:c>
      <x:c r="B188" s="53" t="str">
        <x:v>Performance, security &amp; analytics</x:v>
      </x:c>
      <x:c r="C188" s="53" t="str">
        <x:v>Firestore unauthorized access</x:v>
      </x:c>
      <x:c r="D188" s="53" t="str">
        <x:v>P0</x:v>
      </x:c>
      <x:c r="E188" s="53" t="str">
        <x:v>Development</x:v>
      </x:c>
      <x:c r="F188" s="53" t="str">
        <x:v>Security</x:v>
      </x:c>
      <x:c r="G188" s="53" t="str">
        <x:v>Signed-out/non-admin session</x:v>
      </x:c>
      <x:c r="H188" s="53" t="str">
        <x:v>Attempt direct reads/writes to orders, admin data, refunds, promos, notifications.</x:v>
      </x:c>
      <x:c r="I188" s="53" t="str">
        <x:v>Rules deny unauthorized operations while valid customer/admin flows still work.</x:v>
      </x:c>
      <x:c r="J188" s="53" t="str">
        <x:v>Not Run</x:v>
      </x:c>
      <x:c r="K188" s="53" t="str"/>
      <x:c r="L188" s="53" t="str">
        <x:v>N/A</x:v>
      </x:c>
      <x:c r="M188" s="53" t="str"/>
      <x:c r="N188" s="53" t="str"/>
      <x:c r="O188" s="54" t="str"/>
      <x:c r="P188" s="53" t="str"/>
    </x:row>
    <x:row r="189" ht="50" customHeight="1">
      <x:c r="A189" s="53" t="str">
        <x:v>PERF-006</x:v>
      </x:c>
      <x:c r="B189" s="53" t="str">
        <x:v>Performance, security &amp; analytics</x:v>
      </x:c>
      <x:c r="C189" s="53" t="str">
        <x:v>API key restrictions</x:v>
      </x:c>
      <x:c r="D189" s="53" t="str">
        <x:v>P0</x:v>
      </x:c>
      <x:c r="E189" s="53" t="str">
        <x:v>Development</x:v>
      </x:c>
      <x:c r="F189" s="53" t="str">
        <x:v>Google Cloud</x:v>
      </x:c>
      <x:c r="G189" s="53" t="str">
        <x:v>Maps key configured</x:v>
      </x:c>
      <x:c r="H189" s="53" t="str">
        <x:v>Verify HTTP referrers and API restrictions for dev, shrish.co, www.shrish.co.</x:v>
      </x:c>
      <x:c r="I189" s="53" t="str">
        <x:v>Key works only on approved hosts and only required Maps/Places APIs.</x:v>
      </x:c>
      <x:c r="J189" s="53" t="str">
        <x:v>Not Run</x:v>
      </x:c>
      <x:c r="K189" s="53" t="str"/>
      <x:c r="L189" s="53" t="str">
        <x:v>N/A</x:v>
      </x:c>
      <x:c r="M189" s="53" t="str"/>
      <x:c r="N189" s="53" t="str"/>
      <x:c r="O189" s="54" t="str"/>
      <x:c r="P189" s="53" t="str"/>
    </x:row>
    <x:row r="190" ht="50" customHeight="1">
      <x:c r="A190" s="53" t="str">
        <x:v>PERF-007</x:v>
      </x:c>
      <x:c r="B190" s="53" t="str">
        <x:v>Performance, security &amp; analytics</x:v>
      </x:c>
      <x:c r="C190" s="53" t="str">
        <x:v>Secret scan</x:v>
      </x:c>
      <x:c r="D190" s="53" t="str">
        <x:v>P0</x:v>
      </x:c>
      <x:c r="E190" s="53" t="str">
        <x:v>Development</x:v>
      </x:c>
      <x:c r="F190" s="53" t="str">
        <x:v>Repository</x:v>
      </x:c>
      <x:c r="G190" s="53" t="str">
        <x:v>Release candidate</x:v>
      </x:c>
      <x:c r="H190" s="53" t="str">
        <x:v>Scan tracked files/history/diff for Stripe, webhook, Resend, Firebase admin, Maps, and other secrets.</x:v>
      </x:c>
      <x:c r="I190" s="53" t="str">
        <x:v>No server secret or unrestricted sensitive credential is committed.</x:v>
      </x:c>
      <x:c r="J190" s="53" t="str">
        <x:v>Not Run</x:v>
      </x:c>
      <x:c r="K190" s="53" t="str"/>
      <x:c r="L190" s="53" t="str">
        <x:v>N/A</x:v>
      </x:c>
      <x:c r="M190" s="53" t="str"/>
      <x:c r="N190" s="53" t="str"/>
      <x:c r="O190" s="54" t="str"/>
      <x:c r="P190" s="53" t="str"/>
    </x:row>
    <x:row r="191" ht="50" customHeight="1">
      <x:c r="A191" s="53" t="str">
        <x:v>PERF-008</x:v>
      </x:c>
      <x:c r="B191" s="53" t="str">
        <x:v>Performance, security &amp; analytics</x:v>
      </x:c>
      <x:c r="C191" s="53" t="str">
        <x:v>Analytics page views</x:v>
      </x:c>
      <x:c r="D191" s="53" t="str">
        <x:v>P2</x:v>
      </x:c>
      <x:c r="E191" s="53" t="str">
        <x:v>Development + production smoke</x:v>
      </x:c>
      <x:c r="F191" s="53" t="str">
        <x:v>Desktop + mobile</x:v>
      </x:c>
      <x:c r="G191" s="53" t="str">
        <x:v>Analytics enabled</x:v>
      </x:c>
      <x:c r="H191" s="53" t="str">
        <x:v>Navigate public pages and inspect analytics debugger/network.</x:v>
      </x:c>
      <x:c r="I191" s="53" t="str">
        <x:v>One page-view event per navigation with correct path and no PII.</x:v>
      </x:c>
      <x:c r="J191" s="53" t="str">
        <x:v>Not Run</x:v>
      </x:c>
      <x:c r="K191" s="53" t="str"/>
      <x:c r="L191" s="53" t="str">
        <x:v>N/A</x:v>
      </x:c>
      <x:c r="M191" s="53" t="str"/>
      <x:c r="N191" s="53" t="str"/>
      <x:c r="O191" s="54" t="str"/>
      <x:c r="P191" s="53" t="str"/>
    </x:row>
    <x:row r="192" ht="50" customHeight="1">
      <x:c r="A192" s="53" t="str">
        <x:v>PERF-009</x:v>
      </x:c>
      <x:c r="B192" s="53" t="str">
        <x:v>Performance, security &amp; analytics</x:v>
      </x:c>
      <x:c r="C192" s="53" t="str">
        <x:v>Commerce analytics</x:v>
      </x:c>
      <x:c r="D192" s="53" t="str">
        <x:v>P2</x:v>
      </x:c>
      <x:c r="E192" s="53" t="str">
        <x:v>Development</x:v>
      </x:c>
      <x:c r="F192" s="53" t="str">
        <x:v>Desktop + mobile</x:v>
      </x:c>
      <x:c r="G192" s="53" t="str">
        <x:v>Analytics enabled</x:v>
      </x:c>
      <x:c r="H192" s="53" t="str">
        <x:v>Search, view product, add/remove cart, begin checkout, purchase test order.</x:v>
      </x:c>
      <x:c r="I192" s="53" t="str">
        <x:v>Expected events fire once with correct product/value metadata and no PII.</x:v>
      </x:c>
      <x:c r="J192" s="53" t="str">
        <x:v>Not Run</x:v>
      </x:c>
      <x:c r="K192" s="53" t="str"/>
      <x:c r="L192" s="53" t="str">
        <x:v>N/A</x:v>
      </x:c>
      <x:c r="M192" s="53" t="str"/>
      <x:c r="N192" s="53" t="str"/>
      <x:c r="O192" s="54" t="str"/>
      <x:c r="P192" s="53" t="str"/>
    </x:row>
    <x:row r="193" ht="50" customHeight="1">
      <x:c r="A193" s="53" t="str">
        <x:v>PERF-010</x:v>
      </x:c>
      <x:c r="B193" s="53" t="str">
        <x:v>Performance, security &amp; analytics</x:v>
      </x:c>
      <x:c r="C193" s="53" t="str">
        <x:v>Error logging</x:v>
      </x:c>
      <x:c r="D193" s="53" t="str">
        <x:v>P1</x:v>
      </x:c>
      <x:c r="E193" s="53" t="str">
        <x:v>Development</x:v>
      </x:c>
      <x:c r="F193" s="53" t="str">
        <x:v>Functions/browser</x:v>
      </x:c>
      <x:c r="G193" s="53" t="str">
        <x:v>Safe simulated error</x:v>
      </x:c>
      <x:c r="H193" s="53" t="str">
        <x:v>Trigger recoverable client/function error and inspect logs.</x:v>
      </x:c>
      <x:c r="I193" s="53" t="str">
        <x:v>Enough context is logged for diagnosis without storing secrets or payment data.</x:v>
      </x:c>
      <x:c r="J193" s="53" t="str">
        <x:v>Not Run</x:v>
      </x:c>
      <x:c r="K193" s="53" t="str"/>
      <x:c r="L193" s="53" t="str">
        <x:v>N/A</x:v>
      </x:c>
      <x:c r="M193" s="53" t="str"/>
      <x:c r="N193" s="53" t="str"/>
      <x:c r="O193" s="54" t="str"/>
      <x:c r="P193" s="53" t="str"/>
    </x:row>
  </x:sheetData>
  <x:mergeCells>
    <x:mergeCell ref="A1:P1"/>
    <x:mergeCell ref="A2:P2"/>
  </x:mergeCells>
  <x:conditionalFormatting sqref="J4:J193">
    <x:cfRule type="expression" dxfId="0" priority="1">
      <x:formula>$J4="Pass"</x:formula>
    </x:cfRule>
    <x:cfRule type="expression" dxfId="1" priority="2">
      <x:formula>$J4="Fail"</x:formula>
    </x:cfRule>
    <x:cfRule type="expression" dxfId="2" priority="3">
      <x:formula>$J4="Blocked"</x:formula>
    </x:cfRule>
    <x:cfRule type="expression" dxfId="3" priority="4">
      <x:formula>$J4="N/A"</x:formula>
    </x:cfRule>
  </x:conditionalFormatting>
  <x:dataValidations count="3">
    <x:dataValidation type="list" sqref="D4:D193">
      <x:formula1>"P0,P1,P2,P3"</x:formula1>
    </x:dataValidation>
    <x:dataValidation type="list" sqref="J4:J193">
      <x:formula1>"Not Run,Pass,Fail,Blocked,N/A"</x:formula1>
    </x:dataValidation>
    <x:dataValidation type="list" sqref="L4:L193">
      <x:formula1>"Critical,High,Medium,Low,Cosmetic,N/A"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6039d232cf4a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34" customHeight="1">
      <x:c r="A1" s="3" t="str">
        <x:v>Release Dashboard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7" t="str">
        <x:v>Formula-driven summary of the Test Cases sheet. Update statuses there and this page refreshes automatically.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4" customHeight="1">
      <x:c r="A3" s="16" t="str">
        <x:v>Execution summary</x:v>
      </x:c>
      <x:c r="B3" s="16"/>
      <x:c r="C3" s="16"/>
      <x:c r="D3" s="16"/>
    </x:row>
    <x:row r="4" ht="32" customHeight="1">
      <x:c r="A4" s="29" t="str">
        <x:v>Metric</x:v>
      </x:c>
      <x:c r="B4" s="29" t="str">
        <x:v>Result</x:v>
      </x:c>
      <x:c r="H4" s="29" t="str">
        <x:v>Status</x:v>
      </x:c>
      <x:c r="I4" s="29" t="str">
        <x:v>Count</x:v>
      </x:c>
    </x:row>
    <x:row r="5" ht="26" customHeight="1">
      <x:c r="A5" s="10" t="str">
        <x:v>Total cases</x:v>
      </x:c>
      <x:c r="B5" s="13" t="n">
        <x:f>COUNTA('Test Cases'!$A$4:$A$193)</x:f>
        <x:v>190</x:v>
      </x:c>
      <x:c r="H5" s="13" t="str">
        <x:v>Pass</x:v>
      </x:c>
      <x:c r="I5" s="13" t="n">
        <x:f>COUNTIF('Test Cases'!$J$4:$J$193,H5)</x:f>
        <x:v>0</x:v>
      </x:c>
    </x:row>
    <x:row r="6" ht="26" customHeight="1">
      <x:c r="A6" s="10" t="str">
        <x:v>Executed</x:v>
      </x:c>
      <x:c r="B6" s="13" t="n">
        <x:f>B5-B10-COUNTIF('Test Cases'!$J$4:$J$193,"N/A")</x:f>
        <x:v>0</x:v>
      </x:c>
      <x:c r="H6" s="13" t="str">
        <x:v>Fail</x:v>
      </x:c>
      <x:c r="I6" s="13" t="n">
        <x:f>COUNTIF('Test Cases'!$J$4:$J$193,H6)</x:f>
        <x:v>0</x:v>
      </x:c>
    </x:row>
    <x:row r="7" ht="26" customHeight="1">
      <x:c r="A7" s="10" t="str">
        <x:v>Pass</x:v>
      </x:c>
      <x:c r="B7" s="13" t="n">
        <x:f>COUNTIF('Test Cases'!$J$4:$J$193,"Pass")</x:f>
        <x:v>0</x:v>
      </x:c>
      <x:c r="H7" s="13" t="str">
        <x:v>Blocked</x:v>
      </x:c>
      <x:c r="I7" s="13" t="n">
        <x:f>COUNTIF('Test Cases'!$J$4:$J$193,H7)</x:f>
        <x:v>0</x:v>
      </x:c>
    </x:row>
    <x:row r="8" ht="26" customHeight="1">
      <x:c r="A8" s="10" t="str">
        <x:v>Fail</x:v>
      </x:c>
      <x:c r="B8" s="13" t="n">
        <x:f>COUNTIF('Test Cases'!$J$4:$J$193,"Fail")</x:f>
        <x:v>0</x:v>
      </x:c>
      <x:c r="H8" s="13" t="str">
        <x:v>Not Run</x:v>
      </x:c>
      <x:c r="I8" s="13" t="n">
        <x:f>COUNTIF('Test Cases'!$J$4:$J$193,H8)</x:f>
        <x:v>190</x:v>
      </x:c>
    </x:row>
    <x:row r="9" ht="26" customHeight="1">
      <x:c r="A9" s="10" t="str">
        <x:v>Blocked</x:v>
      </x:c>
      <x:c r="B9" s="13" t="n">
        <x:f>COUNTIF('Test Cases'!$J$4:$J$193,"Blocked")</x:f>
        <x:v>0</x:v>
      </x:c>
      <x:c r="H9" s="13" t="str">
        <x:v>N/A</x:v>
      </x:c>
      <x:c r="I9" s="13" t="n">
        <x:f>COUNTIF('Test Cases'!$J$4:$J$193,H9)</x:f>
        <x:v>0</x:v>
      </x:c>
    </x:row>
    <x:row r="10" ht="26" customHeight="1">
      <x:c r="A10" s="10" t="str">
        <x:v>Not Run</x:v>
      </x:c>
      <x:c r="B10" s="13" t="n">
        <x:f>COUNTIF('Test Cases'!$J$4:$J$193,"Not Run")</x:f>
        <x:v>190</x:v>
      </x:c>
    </x:row>
    <x:row r="11" ht="26" customHeight="1">
      <x:c r="A11" s="10" t="str">
        <x:v>Pass rate</x:v>
      </x:c>
      <x:c r="B11" s="57" t="n">
        <x:f>IF((B7+B8+B9)=0,0,B7/(B7+B8+B9))</x:f>
        <x:v>0</x:v>
      </x:c>
    </x:row>
    <x:row r="13" ht="24" customHeight="1">
      <x:c r="A13" s="16" t="str">
        <x:v>Coverage by area</x:v>
      </x:c>
      <x:c r="B13" s="16"/>
      <x:c r="C13" s="16"/>
      <x:c r="D13" s="16"/>
      <x:c r="E13" s="16"/>
      <x:c r="F13" s="16"/>
    </x:row>
    <x:row r="14" ht="32" customHeight="1">
      <x:c r="A14" s="29" t="str">
        <x:v>Area</x:v>
      </x:c>
      <x:c r="B14" s="29" t="str">
        <x:v>Total</x:v>
      </x:c>
      <x:c r="C14" s="29" t="str">
        <x:v>Pass</x:v>
      </x:c>
      <x:c r="D14" s="29" t="str">
        <x:v>Fail</x:v>
      </x:c>
      <x:c r="E14" s="29" t="str">
        <x:v>Blocked</x:v>
      </x:c>
      <x:c r="F14" s="29" t="str">
        <x:v>Not Run</x:v>
      </x:c>
    </x:row>
    <x:row r="15" ht="23" customHeight="1">
      <x:c r="A15" s="52" t="str">
        <x:v>Release &amp; deployment</x:v>
      </x:c>
      <x:c r="B15" s="52" t="n">
        <x:f>COUNTIF('Test Cases'!$B$4:$B$193,A15)</x:f>
        <x:v>12</x:v>
      </x:c>
      <x:c r="C15" s="52" t="n">
        <x:f>COUNTIFS('Test Cases'!$B$4:$B$193,A15,'Test Cases'!$J$4:$J$193,"Pass")</x:f>
        <x:v>0</x:v>
      </x:c>
      <x:c r="D15" s="52" t="n">
        <x:f>COUNTIFS('Test Cases'!$B$4:$B$193,A15,'Test Cases'!$J$4:$J$193,"Fail")</x:f>
        <x:v>0</x:v>
      </x:c>
      <x:c r="E15" s="52" t="n">
        <x:f>COUNTIFS('Test Cases'!$B$4:$B$193,A15,'Test Cases'!$J$4:$J$193,"Blocked")</x:f>
        <x:v>0</x:v>
      </x:c>
      <x:c r="F15" s="52" t="n">
        <x:f>COUNTIFS('Test Cases'!$B$4:$B$193,A15,'Test Cases'!$J$4:$J$193,"Not Run")</x:f>
        <x:v>12</x:v>
      </x:c>
    </x:row>
    <x:row r="16" ht="23" customHeight="1">
      <x:c r="A16" s="52" t="str">
        <x:v>Public pages &amp; navigation</x:v>
      </x:c>
      <x:c r="B16" s="52" t="n">
        <x:f>COUNTIF('Test Cases'!$B$4:$B$193,A16)</x:f>
        <x:v>10</x:v>
      </x:c>
      <x:c r="C16" s="52" t="n">
        <x:f>COUNTIFS('Test Cases'!$B$4:$B$193,A16,'Test Cases'!$J$4:$J$193,"Pass")</x:f>
        <x:v>0</x:v>
      </x:c>
      <x:c r="D16" s="52" t="n">
        <x:f>COUNTIFS('Test Cases'!$B$4:$B$193,A16,'Test Cases'!$J$4:$J$193,"Fail")</x:f>
        <x:v>0</x:v>
      </x:c>
      <x:c r="E16" s="52" t="n">
        <x:f>COUNTIFS('Test Cases'!$B$4:$B$193,A16,'Test Cases'!$J$4:$J$193,"Blocked")</x:f>
        <x:v>0</x:v>
      </x:c>
      <x:c r="F16" s="52" t="n">
        <x:f>COUNTIFS('Test Cases'!$B$4:$B$193,A16,'Test Cases'!$J$4:$J$193,"Not Run")</x:f>
        <x:v>10</x:v>
      </x:c>
    </x:row>
    <x:row r="17" ht="23" customHeight="1">
      <x:c r="A17" s="52" t="str">
        <x:v>Homepage</x:v>
      </x:c>
      <x:c r="B17" s="52" t="n">
        <x:f>COUNTIF('Test Cases'!$B$4:$B$193,A17)</x:f>
        <x:v>10</x:v>
      </x:c>
      <x:c r="C17" s="52" t="n">
        <x:f>COUNTIFS('Test Cases'!$B$4:$B$193,A17,'Test Cases'!$J$4:$J$193,"Pass")</x:f>
        <x:v>0</x:v>
      </x:c>
      <x:c r="D17" s="52" t="n">
        <x:f>COUNTIFS('Test Cases'!$B$4:$B$193,A17,'Test Cases'!$J$4:$J$193,"Fail")</x:f>
        <x:v>0</x:v>
      </x:c>
      <x:c r="E17" s="52" t="n">
        <x:f>COUNTIFS('Test Cases'!$B$4:$B$193,A17,'Test Cases'!$J$4:$J$193,"Blocked")</x:f>
        <x:v>0</x:v>
      </x:c>
      <x:c r="F17" s="52" t="n">
        <x:f>COUNTIFS('Test Cases'!$B$4:$B$193,A17,'Test Cases'!$J$4:$J$193,"Not Run")</x:f>
        <x:v>10</x:v>
      </x:c>
    </x:row>
    <x:row r="18" ht="23" customHeight="1">
      <x:c r="A18" s="52" t="str">
        <x:v>Shop &amp; catalog</x:v>
      </x:c>
      <x:c r="B18" s="52" t="n">
        <x:f>COUNTIF('Test Cases'!$B$4:$B$193,A18)</x:f>
        <x:v>24</x:v>
      </x:c>
      <x:c r="C18" s="52" t="n">
        <x:f>COUNTIFS('Test Cases'!$B$4:$B$193,A18,'Test Cases'!$J$4:$J$193,"Pass")</x:f>
        <x:v>0</x:v>
      </x:c>
      <x:c r="D18" s="52" t="n">
        <x:f>COUNTIFS('Test Cases'!$B$4:$B$193,A18,'Test Cases'!$J$4:$J$193,"Fail")</x:f>
        <x:v>0</x:v>
      </x:c>
      <x:c r="E18" s="52" t="n">
        <x:f>COUNTIFS('Test Cases'!$B$4:$B$193,A18,'Test Cases'!$J$4:$J$193,"Blocked")</x:f>
        <x:v>0</x:v>
      </x:c>
      <x:c r="F18" s="52" t="n">
        <x:f>COUNTIFS('Test Cases'!$B$4:$B$193,A18,'Test Cases'!$J$4:$J$193,"Not Run")</x:f>
        <x:v>24</x:v>
      </x:c>
    </x:row>
    <x:row r="19" ht="23" customHeight="1">
      <x:c r="A19" s="52" t="str">
        <x:v>Cart &amp; checkout UI</x:v>
      </x:c>
      <x:c r="B19" s="52" t="n">
        <x:f>COUNTIF('Test Cases'!$B$4:$B$193,A19)</x:f>
        <x:v>17</x:v>
      </x:c>
      <x:c r="C19" s="52" t="n">
        <x:f>COUNTIFS('Test Cases'!$B$4:$B$193,A19,'Test Cases'!$J$4:$J$193,"Pass")</x:f>
        <x:v>0</x:v>
      </x:c>
      <x:c r="D19" s="52" t="n">
        <x:f>COUNTIFS('Test Cases'!$B$4:$B$193,A19,'Test Cases'!$J$4:$J$193,"Fail")</x:f>
        <x:v>0</x:v>
      </x:c>
      <x:c r="E19" s="52" t="n">
        <x:f>COUNTIFS('Test Cases'!$B$4:$B$193,A19,'Test Cases'!$J$4:$J$193,"Blocked")</x:f>
        <x:v>0</x:v>
      </x:c>
      <x:c r="F19" s="52" t="n">
        <x:f>COUNTIFS('Test Cases'!$B$4:$B$193,A19,'Test Cases'!$J$4:$J$193,"Not Run")</x:f>
        <x:v>17</x:v>
      </x:c>
    </x:row>
    <x:row r="20" ht="23" customHeight="1">
      <x:c r="A20" s="52" t="str">
        <x:v>Payment, tax &amp; fulfillment</x:v>
      </x:c>
      <x:c r="B20" s="52" t="n">
        <x:f>COUNTIF('Test Cases'!$B$4:$B$193,A20)</x:f>
        <x:v>29</x:v>
      </x:c>
      <x:c r="C20" s="52" t="n">
        <x:f>COUNTIFS('Test Cases'!$B$4:$B$193,A20,'Test Cases'!$J$4:$J$193,"Pass")</x:f>
        <x:v>0</x:v>
      </x:c>
      <x:c r="D20" s="52" t="n">
        <x:f>COUNTIFS('Test Cases'!$B$4:$B$193,A20,'Test Cases'!$J$4:$J$193,"Fail")</x:f>
        <x:v>0</x:v>
      </x:c>
      <x:c r="E20" s="52" t="n">
        <x:f>COUNTIFS('Test Cases'!$B$4:$B$193,A20,'Test Cases'!$J$4:$J$193,"Blocked")</x:f>
        <x:v>0</x:v>
      </x:c>
      <x:c r="F20" s="52" t="n">
        <x:f>COUNTIFS('Test Cases'!$B$4:$B$193,A20,'Test Cases'!$J$4:$J$193,"Not Run")</x:f>
        <x:v>29</x:v>
      </x:c>
    </x:row>
    <x:row r="21" ht="23" customHeight="1">
      <x:c r="A21" s="52" t="str">
        <x:v>Customer accounts</x:v>
      </x:c>
      <x:c r="B21" s="52" t="n">
        <x:f>COUNTIF('Test Cases'!$B$4:$B$193,A21)</x:f>
        <x:v>15</x:v>
      </x:c>
      <x:c r="C21" s="52" t="n">
        <x:f>COUNTIFS('Test Cases'!$B$4:$B$193,A21,'Test Cases'!$J$4:$J$193,"Pass")</x:f>
        <x:v>0</x:v>
      </x:c>
      <x:c r="D21" s="52" t="n">
        <x:f>COUNTIFS('Test Cases'!$B$4:$B$193,A21,'Test Cases'!$J$4:$J$193,"Fail")</x:f>
        <x:v>0</x:v>
      </x:c>
      <x:c r="E21" s="52" t="n">
        <x:f>COUNTIFS('Test Cases'!$B$4:$B$193,A21,'Test Cases'!$J$4:$J$193,"Blocked")</x:f>
        <x:v>0</x:v>
      </x:c>
      <x:c r="F21" s="52" t="n">
        <x:f>COUNTIFS('Test Cases'!$B$4:$B$193,A21,'Test Cases'!$J$4:$J$193,"Not Run")</x:f>
        <x:v>15</x:v>
      </x:c>
    </x:row>
    <x:row r="22" ht="23" customHeight="1">
      <x:c r="A22" s="52" t="str">
        <x:v>Notifications &amp; communications</x:v>
      </x:c>
      <x:c r="B22" s="52" t="n">
        <x:f>COUNTIF('Test Cases'!$B$4:$B$193,A22)</x:f>
        <x:v>7</x:v>
      </x:c>
      <x:c r="C22" s="52" t="n">
        <x:f>COUNTIFS('Test Cases'!$B$4:$B$193,A22,'Test Cases'!$J$4:$J$193,"Pass")</x:f>
        <x:v>0</x:v>
      </x:c>
      <x:c r="D22" s="52" t="n">
        <x:f>COUNTIFS('Test Cases'!$B$4:$B$193,A22,'Test Cases'!$J$4:$J$193,"Fail")</x:f>
        <x:v>0</x:v>
      </x:c>
      <x:c r="E22" s="52" t="n">
        <x:f>COUNTIFS('Test Cases'!$B$4:$B$193,A22,'Test Cases'!$J$4:$J$193,"Blocked")</x:f>
        <x:v>0</x:v>
      </x:c>
      <x:c r="F22" s="52" t="n">
        <x:f>COUNTIFS('Test Cases'!$B$4:$B$193,A22,'Test Cases'!$J$4:$J$193,"Not Run")</x:f>
        <x:v>7</x:v>
      </x:c>
    </x:row>
    <x:row r="23" ht="23" customHeight="1">
      <x:c r="A23" s="52" t="str">
        <x:v>Admin operations</x:v>
      </x:c>
      <x:c r="B23" s="52" t="n">
        <x:f>COUNTIF('Test Cases'!$B$4:$B$193,A23)</x:f>
        <x:v>32</x:v>
      </x:c>
      <x:c r="C23" s="52" t="n">
        <x:f>COUNTIFS('Test Cases'!$B$4:$B$193,A23,'Test Cases'!$J$4:$J$193,"Pass")</x:f>
        <x:v>0</x:v>
      </x:c>
      <x:c r="D23" s="52" t="n">
        <x:f>COUNTIFS('Test Cases'!$B$4:$B$193,A23,'Test Cases'!$J$4:$J$193,"Fail")</x:f>
        <x:v>0</x:v>
      </x:c>
      <x:c r="E23" s="52" t="n">
        <x:f>COUNTIFS('Test Cases'!$B$4:$B$193,A23,'Test Cases'!$J$4:$J$193,"Blocked")</x:f>
        <x:v>0</x:v>
      </x:c>
      <x:c r="F23" s="52" t="n">
        <x:f>COUNTIFS('Test Cases'!$B$4:$B$193,A23,'Test Cases'!$J$4:$J$193,"Not Run")</x:f>
        <x:v>32</x:v>
      </x:c>
    </x:row>
    <x:row r="24" ht="23" customHeight="1">
      <x:c r="A24" s="52" t="str">
        <x:v>SEO &amp; content</x:v>
      </x:c>
      <x:c r="B24" s="52" t="n">
        <x:f>COUNTIF('Test Cases'!$B$4:$B$193,A24)</x:f>
        <x:v>12</x:v>
      </x:c>
      <x:c r="C24" s="52" t="n">
        <x:f>COUNTIFS('Test Cases'!$B$4:$B$193,A24,'Test Cases'!$J$4:$J$193,"Pass")</x:f>
        <x:v>0</x:v>
      </x:c>
      <x:c r="D24" s="52" t="n">
        <x:f>COUNTIFS('Test Cases'!$B$4:$B$193,A24,'Test Cases'!$J$4:$J$193,"Fail")</x:f>
        <x:v>0</x:v>
      </x:c>
      <x:c r="E24" s="52" t="n">
        <x:f>COUNTIFS('Test Cases'!$B$4:$B$193,A24,'Test Cases'!$J$4:$J$193,"Blocked")</x:f>
        <x:v>0</x:v>
      </x:c>
      <x:c r="F24" s="52" t="n">
        <x:f>COUNTIFS('Test Cases'!$B$4:$B$193,A24,'Test Cases'!$J$4:$J$193,"Not Run")</x:f>
        <x:v>12</x:v>
      </x:c>
    </x:row>
    <x:row r="25" ht="23" customHeight="1">
      <x:c r="A25" s="52" t="str">
        <x:v>Accessibility &amp; responsive UI</x:v>
      </x:c>
      <x:c r="B25" s="52" t="n">
        <x:f>COUNTIF('Test Cases'!$B$4:$B$193,A25)</x:f>
        <x:v>12</x:v>
      </x:c>
      <x:c r="C25" s="52" t="n">
        <x:f>COUNTIFS('Test Cases'!$B$4:$B$193,A25,'Test Cases'!$J$4:$J$193,"Pass")</x:f>
        <x:v>0</x:v>
      </x:c>
      <x:c r="D25" s="52" t="n">
        <x:f>COUNTIFS('Test Cases'!$B$4:$B$193,A25,'Test Cases'!$J$4:$J$193,"Fail")</x:f>
        <x:v>0</x:v>
      </x:c>
      <x:c r="E25" s="52" t="n">
        <x:f>COUNTIFS('Test Cases'!$B$4:$B$193,A25,'Test Cases'!$J$4:$J$193,"Blocked")</x:f>
        <x:v>0</x:v>
      </x:c>
      <x:c r="F25" s="52" t="n">
        <x:f>COUNTIFS('Test Cases'!$B$4:$B$193,A25,'Test Cases'!$J$4:$J$193,"Not Run")</x:f>
        <x:v>12</x:v>
      </x:c>
    </x:row>
    <x:row r="26" ht="23" customHeight="1">
      <x:c r="A26" s="52" t="str">
        <x:v>Performance, security &amp; analytics</x:v>
      </x:c>
      <x:c r="B26" s="52" t="n">
        <x:f>COUNTIF('Test Cases'!$B$4:$B$193,A26)</x:f>
        <x:v>10</x:v>
      </x:c>
      <x:c r="C26" s="52" t="n">
        <x:f>COUNTIFS('Test Cases'!$B$4:$B$193,A26,'Test Cases'!$J$4:$J$193,"Pass")</x:f>
        <x:v>0</x:v>
      </x:c>
      <x:c r="D26" s="52" t="n">
        <x:f>COUNTIFS('Test Cases'!$B$4:$B$193,A26,'Test Cases'!$J$4:$J$193,"Fail")</x:f>
        <x:v>0</x:v>
      </x:c>
      <x:c r="E26" s="52" t="n">
        <x:f>COUNTIFS('Test Cases'!$B$4:$B$193,A26,'Test Cases'!$J$4:$J$193,"Blocked")</x:f>
        <x:v>0</x:v>
      </x:c>
      <x:c r="F26" s="52" t="n">
        <x:f>COUNTIFS('Test Cases'!$B$4:$B$193,A26,'Test Cases'!$J$4:$J$193,"Not Run")</x:f>
        <x:v>10</x:v>
      </x:c>
    </x:row>
  </x:sheetData>
  <x:mergeCells>
    <x:mergeCell ref="A1:J1"/>
    <x:mergeCell ref="A2:J2"/>
    <x:mergeCell ref="A3:D3"/>
    <x:mergeCell ref="A13:F13"/>
  </x:mergeCells>
  <x:pageMargins left="0.7" right="0.7" top="0.75" bottom="0.75" header="0.3" footer="0.3"/>
  <x:drawing xmlns:r="http://schemas.openxmlformats.org/officeDocument/2006/relationships" r:id="Rfa7f11f292754a45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24" hidden="0" customWidth="1"/>
    <x:col min="4" max="4" width="18" hidden="0" customWidth="1"/>
    <x:col min="5" max="5" width="34" hidden="0" customWidth="1"/>
    <x:col min="6" max="6" width="10" hidden="0" customWidth="1"/>
    <x:col min="7" max="7" width="12" hidden="0" customWidth="1"/>
    <x:col min="8" max="8" width="25" hidden="0" customWidth="1"/>
    <x:col min="9" max="9" width="15" hidden="0" customWidth="1"/>
    <x:col min="10" max="10" width="24" hidden="0" customWidth="1"/>
  </x:cols>
  <x:sheetData>
    <x:row r="1" ht="34" customHeight="1">
      <x:c r="A1" s="3" t="str">
        <x:v>Device &amp; Browser Matrix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7" t="str">
        <x:v>Use real devices where possible. Evidence should include screenshot, viewport, browser version, and test date.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32" customHeight="1">
      <x:c r="A3" s="29" t="str">
        <x:v>ID</x:v>
      </x:c>
      <x:c r="B3" s="29" t="str">
        <x:v>Platform</x:v>
      </x:c>
      <x:c r="C3" s="29" t="str">
        <x:v>Device / Viewport</x:v>
      </x:c>
      <x:c r="D3" s="29" t="str">
        <x:v>Browser</x:v>
      </x:c>
      <x:c r="E3" s="29" t="str">
        <x:v>Required Scope</x:v>
      </x:c>
      <x:c r="F3" s="29" t="str">
        <x:v>Priority</x:v>
      </x:c>
      <x:c r="G3" s="29" t="str">
        <x:v>Status</x:v>
      </x:c>
      <x:c r="H3" s="29" t="str">
        <x:v>Evidence</x:v>
      </x:c>
      <x:c r="I3" s="29" t="str">
        <x:v>Tester</x:v>
      </x:c>
      <x:c r="J3" s="29" t="str">
        <x:v>Date / Notes</x:v>
      </x:c>
    </x:row>
    <x:row r="4" ht="50" customHeight="1">
      <x:c r="A4" s="53" t="str">
        <x:v>DEV-01</x:v>
      </x:c>
      <x:c r="B4" s="53" t="str">
        <x:v>Windows 11</x:v>
      </x:c>
      <x:c r="C4" s="53" t="str">
        <x:v>1366 x 768</x:v>
      </x:c>
      <x:c r="D4" s="53" t="str">
        <x:v>Chrome latest</x:v>
      </x:c>
      <x:c r="E4" s="53" t="str">
        <x:v>Full public regression + admin</x:v>
      </x:c>
      <x:c r="F4" s="53" t="str">
        <x:v>P0</x:v>
      </x:c>
      <x:c r="G4" s="53" t="str">
        <x:v>Not Run</x:v>
      </x:c>
      <x:c r="H4" s="53" t="str"/>
      <x:c r="I4" s="53" t="str"/>
      <x:c r="J4" s="54" t="str"/>
    </x:row>
    <x:row r="5" ht="50" customHeight="1">
      <x:c r="A5" s="53" t="str">
        <x:v>DEV-02</x:v>
      </x:c>
      <x:c r="B5" s="53" t="str">
        <x:v>Windows 11</x:v>
      </x:c>
      <x:c r="C5" s="53" t="str">
        <x:v>1920 x 1080</x:v>
      </x:c>
      <x:c r="D5" s="53" t="str">
        <x:v>Chrome latest</x:v>
      </x:c>
      <x:c r="E5" s="53" t="str">
        <x:v>Visual density, shop, admin</x:v>
      </x:c>
      <x:c r="F5" s="53" t="str">
        <x:v>P1</x:v>
      </x:c>
      <x:c r="G5" s="53" t="str">
        <x:v>Not Run</x:v>
      </x:c>
      <x:c r="H5" s="53" t="str"/>
      <x:c r="I5" s="53" t="str"/>
      <x:c r="J5" s="54" t="str"/>
    </x:row>
    <x:row r="6" ht="50" customHeight="1">
      <x:c r="A6" s="53" t="str">
        <x:v>DEV-03</x:v>
      </x:c>
      <x:c r="B6" s="53" t="str">
        <x:v>Windows 11</x:v>
      </x:c>
      <x:c r="C6" s="53" t="str">
        <x:v>1440 x 900</x:v>
      </x:c>
      <x:c r="D6" s="53" t="str">
        <x:v>Edge latest</x:v>
      </x:c>
      <x:c r="E6" s="53" t="str">
        <x:v>Public smoke + checkout</x:v>
      </x:c>
      <x:c r="F6" s="53" t="str">
        <x:v>P1</x:v>
      </x:c>
      <x:c r="G6" s="53" t="str">
        <x:v>Not Run</x:v>
      </x:c>
      <x:c r="H6" s="53" t="str"/>
      <x:c r="I6" s="53" t="str"/>
      <x:c r="J6" s="54" t="str"/>
    </x:row>
    <x:row r="7" ht="50" customHeight="1">
      <x:c r="A7" s="53" t="str">
        <x:v>DEV-04</x:v>
      </x:c>
      <x:c r="B7" s="53" t="str">
        <x:v>macOS</x:v>
      </x:c>
      <x:c r="C7" s="53" t="str">
        <x:v>1440 x 900 or similar</x:v>
      </x:c>
      <x:c r="D7" s="53" t="str">
        <x:v>Safari latest</x:v>
      </x:c>
      <x:c r="E7" s="53" t="str">
        <x:v>Public smoke + checkout</x:v>
      </x:c>
      <x:c r="F7" s="53" t="str">
        <x:v>P2</x:v>
      </x:c>
      <x:c r="G7" s="53" t="str">
        <x:v>Not Run</x:v>
      </x:c>
      <x:c r="H7" s="53" t="str"/>
      <x:c r="I7" s="53" t="str"/>
      <x:c r="J7" s="54" t="str"/>
    </x:row>
    <x:row r="8" ht="50" customHeight="1">
      <x:c r="A8" s="53" t="str">
        <x:v>DEV-05</x:v>
      </x:c>
      <x:c r="B8" s="53" t="str">
        <x:v>iOS</x:v>
      </x:c>
      <x:c r="C8" s="53" t="str">
        <x:v>iPhone SE / 375 x 667</x:v>
      </x:c>
      <x:c r="D8" s="53" t="str">
        <x:v>Safari</x:v>
      </x:c>
      <x:c r="E8" s="53" t="str">
        <x:v>Header, shop, checkout, account</x:v>
      </x:c>
      <x:c r="F8" s="53" t="str">
        <x:v>P0</x:v>
      </x:c>
      <x:c r="G8" s="53" t="str">
        <x:v>Not Run</x:v>
      </x:c>
      <x:c r="H8" s="53" t="str"/>
      <x:c r="I8" s="53" t="str"/>
      <x:c r="J8" s="54" t="str"/>
    </x:row>
    <x:row r="9" ht="50" customHeight="1">
      <x:c r="A9" s="53" t="str">
        <x:v>DEV-06</x:v>
      </x:c>
      <x:c r="B9" s="53" t="str">
        <x:v>iOS</x:v>
      </x:c>
      <x:c r="C9" s="53" t="str">
        <x:v>iPhone 14/15 / 390 x 844</x:v>
      </x:c>
      <x:c r="D9" s="53" t="str">
        <x:v>Safari</x:v>
      </x:c>
      <x:c r="E9" s="53" t="str">
        <x:v>Full mobile regression</x:v>
      </x:c>
      <x:c r="F9" s="53" t="str">
        <x:v>P0</x:v>
      </x:c>
      <x:c r="G9" s="53" t="str">
        <x:v>Not Run</x:v>
      </x:c>
      <x:c r="H9" s="53" t="str"/>
      <x:c r="I9" s="53" t="str"/>
      <x:c r="J9" s="54" t="str"/>
    </x:row>
    <x:row r="10" ht="50" customHeight="1">
      <x:c r="A10" s="53" t="str">
        <x:v>DEV-07</x:v>
      </x:c>
      <x:c r="B10" s="53" t="str">
        <x:v>iOS</x:v>
      </x:c>
      <x:c r="C10" s="53" t="str">
        <x:v>iPhone Pro Max / 430 x 932</x:v>
      </x:c>
      <x:c r="D10" s="53" t="str">
        <x:v>Safari</x:v>
      </x:c>
      <x:c r="E10" s="53" t="str">
        <x:v>Large mobile + safe area</x:v>
      </x:c>
      <x:c r="F10" s="53" t="str">
        <x:v>P1</x:v>
      </x:c>
      <x:c r="G10" s="53" t="str">
        <x:v>Not Run</x:v>
      </x:c>
      <x:c r="H10" s="53" t="str"/>
      <x:c r="I10" s="53" t="str"/>
      <x:c r="J10" s="54" t="str"/>
    </x:row>
    <x:row r="11" ht="50" customHeight="1">
      <x:c r="A11" s="53" t="str">
        <x:v>DEV-08</x:v>
      </x:c>
      <x:c r="B11" s="53" t="str">
        <x:v>Android</x:v>
      </x:c>
      <x:c r="C11" s="53" t="str">
        <x:v>360 x 800</x:v>
      </x:c>
      <x:c r="D11" s="53" t="str">
        <x:v>Chrome</x:v>
      </x:c>
      <x:c r="E11" s="53" t="str">
        <x:v>Small Android regression</x:v>
      </x:c>
      <x:c r="F11" s="53" t="str">
        <x:v>P0</x:v>
      </x:c>
      <x:c r="G11" s="53" t="str">
        <x:v>Not Run</x:v>
      </x:c>
      <x:c r="H11" s="53" t="str"/>
      <x:c r="I11" s="53" t="str"/>
      <x:c r="J11" s="54" t="str"/>
    </x:row>
    <x:row r="12" ht="50" customHeight="1">
      <x:c r="A12" s="53" t="str">
        <x:v>DEV-09</x:v>
      </x:c>
      <x:c r="B12" s="53" t="str">
        <x:v>Android</x:v>
      </x:c>
      <x:c r="C12" s="53" t="str">
        <x:v>412 x 915</x:v>
      </x:c>
      <x:c r="D12" s="53" t="str">
        <x:v>Chrome</x:v>
      </x:c>
      <x:c r="E12" s="53" t="str">
        <x:v>Full mobile regression</x:v>
      </x:c>
      <x:c r="F12" s="53" t="str">
        <x:v>P0</x:v>
      </x:c>
      <x:c r="G12" s="53" t="str">
        <x:v>Not Run</x:v>
      </x:c>
      <x:c r="H12" s="53" t="str"/>
      <x:c r="I12" s="53" t="str"/>
      <x:c r="J12" s="54" t="str"/>
    </x:row>
    <x:row r="13" ht="50" customHeight="1">
      <x:c r="A13" s="53" t="str">
        <x:v>DEV-10</x:v>
      </x:c>
      <x:c r="B13" s="53" t="str">
        <x:v>iPad/tablet</x:v>
      </x:c>
      <x:c r="C13" s="53" t="str">
        <x:v>768 x 1024 portrait</x:v>
      </x:c>
      <x:c r="D13" s="53" t="str">
        <x:v>Safari/Chrome</x:v>
      </x:c>
      <x:c r="E13" s="53" t="str">
        <x:v>Responsive public + checkout</x:v>
      </x:c>
      <x:c r="F13" s="53" t="str">
        <x:v>P1</x:v>
      </x:c>
      <x:c r="G13" s="53" t="str">
        <x:v>Not Run</x:v>
      </x:c>
      <x:c r="H13" s="53" t="str"/>
      <x:c r="I13" s="53" t="str"/>
      <x:c r="J13" s="54" t="str"/>
    </x:row>
    <x:row r="14" ht="50" customHeight="1">
      <x:c r="A14" s="53" t="str">
        <x:v>DEV-11</x:v>
      </x:c>
      <x:c r="B14" s="53" t="str">
        <x:v>iPad/tablet</x:v>
      </x:c>
      <x:c r="C14" s="53" t="str">
        <x:v>1024 x 768 landscape</x:v>
      </x:c>
      <x:c r="D14" s="53" t="str">
        <x:v>Safari/Chrome</x:v>
      </x:c>
      <x:c r="E14" s="53" t="str">
        <x:v>Responsive public + admin</x:v>
      </x:c>
      <x:c r="F14" s="53" t="str">
        <x:v>P2</x:v>
      </x:c>
      <x:c r="G14" s="53" t="str">
        <x:v>Not Run</x:v>
      </x:c>
      <x:c r="H14" s="53" t="str"/>
      <x:c r="I14" s="53" t="str"/>
      <x:c r="J14" s="54" t="str"/>
    </x:row>
    <x:row r="15" ht="50" customHeight="1">
      <x:c r="A15" s="53" t="str">
        <x:v>DEV-12</x:v>
      </x:c>
      <x:c r="B15" s="53" t="str">
        <x:v>Accessibility</x:v>
      </x:c>
      <x:c r="C15" s="53" t="str">
        <x:v>200% zoom + keyboard</x:v>
      </x:c>
      <x:c r="D15" s="53" t="str">
        <x:v>Chrome/Edge</x:v>
      </x:c>
      <x:c r="E15" s="53" t="str">
        <x:v>Public + checkout + dialogs</x:v>
      </x:c>
      <x:c r="F15" s="53" t="str">
        <x:v>P1</x:v>
      </x:c>
      <x:c r="G15" s="53" t="str">
        <x:v>Not Run</x:v>
      </x:c>
      <x:c r="H15" s="53" t="str"/>
      <x:c r="I15" s="53" t="str"/>
      <x:c r="J15" s="54" t="str"/>
    </x:row>
  </x:sheetData>
  <x:mergeCells>
    <x:mergeCell ref="A1:J1"/>
    <x:mergeCell ref="A2:J2"/>
  </x:mergeCells>
  <x:conditionalFormatting sqref="G4:G15">
    <x:cfRule type="expression" dxfId="4" priority="1">
      <x:formula>$G4="Pass"</x:formula>
    </x:cfRule>
    <x:cfRule type="expression" dxfId="5" priority="2">
      <x:formula>$G4="Fail"</x:formula>
    </x:cfRule>
    <x:cfRule type="expression" dxfId="6" priority="3">
      <x:formula>$G4="Blocked"</x:formula>
    </x:cfRule>
    <x:cfRule type="expression" dxfId="7" priority="4">
      <x:formula>$G4="N/A"</x:formula>
    </x:cfRule>
  </x:conditionalFormatting>
  <x:dataValidations count="1">
    <x:dataValidation type="list" sqref="G4:G15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464e8bf1c24c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13" hidden="0" customWidth="1"/>
    <x:col min="4" max="4" width="17" hidden="0" customWidth="1"/>
    <x:col min="5" max="5" width="17" hidden="0" customWidth="1"/>
    <x:col min="6" max="6" width="18" hidden="0" customWidth="1"/>
    <x:col min="7" max="7" width="20" hidden="0" customWidth="1"/>
    <x:col min="8" max="8" width="15" hidden="0" customWidth="1"/>
    <x:col min="9" max="9" width="15" hidden="0" customWidth="1"/>
    <x:col min="10" max="10" width="12" hidden="0" customWidth="1"/>
    <x:col min="11" max="11" width="30" hidden="0" customWidth="1"/>
  </x:cols>
  <x:sheetData>
    <x:row r="1" ht="34" customHeight="1">
      <x:c r="A1" s="3" t="str">
        <x:v>Verified Product Image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7" t="str">
        <x:v>Confirms every approved original image appears under the correct product on card, modal gallery, desktop, and mobile.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32" customHeight="1">
      <x:c r="A3" s="29" t="str">
        <x:v>Product</x:v>
      </x:c>
      <x:c r="B3" s="29" t="str">
        <x:v>Expected image files</x:v>
      </x:c>
      <x:c r="C3" s="29" t="str">
        <x:v>Expected count</x:v>
      </x:c>
      <x:c r="D3" s="29" t="str">
        <x:v>Card image correct</x:v>
      </x:c>
      <x:c r="E3" s="29" t="str">
        <x:v>Modal gallery count</x:v>
      </x:c>
      <x:c r="F3" s="29" t="str">
        <x:v>Images match product</x:v>
      </x:c>
      <x:c r="G3" s="29" t="str">
        <x:v>No old/mismatched image</x:v>
      </x:c>
      <x:c r="H3" s="29" t="str">
        <x:v>Mobile crop</x:v>
      </x:c>
      <x:c r="I3" s="29" t="str">
        <x:v>All files load</x:v>
      </x:c>
      <x:c r="J3" s="29" t="str">
        <x:v>Status</x:v>
      </x:c>
      <x:c r="K3" s="29" t="str">
        <x:v>Evidence / Notes</x:v>
      </x:c>
    </x:row>
    <x:row r="4" ht="74" customHeight="1">
      <x:c r="A4" s="53" t="str">
        <x:v>Cauliflower Pickle</x:v>
      </x:c>
      <x:c r="B4" s="53" t="str">
        <x:v>cauliflower-pickle-verified-1.jpg
cauliflower-pickle-verified-2.jpg
cauliflower-pickle-verified-3.jpg</x:v>
      </x:c>
      <x:c r="C4" s="53" t="n">
        <x:v>3</x:v>
      </x:c>
      <x:c r="D4" s="53" t="str">
        <x:v>Not Run</x:v>
      </x:c>
      <x:c r="E4" s="53" t="str">
        <x:v>Not Run</x:v>
      </x:c>
      <x:c r="F4" s="53" t="str">
        <x:v>Not Run</x:v>
      </x:c>
      <x:c r="G4" s="53" t="str">
        <x:v>Not Run</x:v>
      </x:c>
      <x:c r="H4" s="53" t="str">
        <x:v>Not Run</x:v>
      </x:c>
      <x:c r="I4" s="53" t="str">
        <x:v>Not Run</x:v>
      </x:c>
      <x:c r="J4" s="53" t="str">
        <x:v>Not Run</x:v>
      </x:c>
      <x:c r="K4" s="53" t="str"/>
    </x:row>
    <x:row r="5" ht="74" customHeight="1">
      <x:c r="A5" s="53" t="str">
        <x:v>Drumstick Pickle</x:v>
      </x:c>
      <x:c r="B5" s="53" t="str">
        <x:v>drumstick-pickle-verified-1.jpg
drumstick-pickle-verified-2.jpg</x:v>
      </x:c>
      <x:c r="C5" s="53" t="n">
        <x:v>2</x:v>
      </x:c>
      <x:c r="D5" s="53" t="str">
        <x:v>Not Run</x:v>
      </x:c>
      <x:c r="E5" s="53" t="str">
        <x:v>Not Run</x:v>
      </x:c>
      <x:c r="F5" s="53" t="str">
        <x:v>Not Run</x:v>
      </x:c>
      <x:c r="G5" s="53" t="str">
        <x:v>Not Run</x:v>
      </x:c>
      <x:c r="H5" s="53" t="str">
        <x:v>Not Run</x:v>
      </x:c>
      <x:c r="I5" s="53" t="str">
        <x:v>Not Run</x:v>
      </x:c>
      <x:c r="J5" s="53" t="str">
        <x:v>Not Run</x:v>
      </x:c>
      <x:c r="K5" s="53" t="str"/>
    </x:row>
    <x:row r="6" ht="74" customHeight="1">
      <x:c r="A6" s="53" t="str">
        <x:v>Gongura Pickle / Pachadi</x:v>
      </x:c>
      <x:c r="B6" s="53" t="str">
        <x:v>gongura-pickle-verified-1.jpg
gongura-pickle-verified-2.jpg
gongura-pickle-verified-3.jpg</x:v>
      </x:c>
      <x:c r="C6" s="53" t="n">
        <x:v>3</x:v>
      </x:c>
      <x:c r="D6" s="53" t="str">
        <x:v>Not Run</x:v>
      </x:c>
      <x:c r="E6" s="53" t="str">
        <x:v>Not Run</x:v>
      </x:c>
      <x:c r="F6" s="53" t="str">
        <x:v>Not Run</x:v>
      </x:c>
      <x:c r="G6" s="53" t="str">
        <x:v>Not Run</x:v>
      </x:c>
      <x:c r="H6" s="53" t="str">
        <x:v>Not Run</x:v>
      </x:c>
      <x:c r="I6" s="53" t="str">
        <x:v>Not Run</x:v>
      </x:c>
      <x:c r="J6" s="53" t="str">
        <x:v>Not Run</x:v>
      </x:c>
      <x:c r="K6" s="53" t="str"/>
    </x:row>
    <x:row r="7" ht="74" customHeight="1">
      <x:c r="A7" s="53" t="str">
        <x:v>Mixed Vegetable Pickle</x:v>
      </x:c>
      <x:c r="B7" s="53" t="str">
        <x:v>mix-veg-pickle-original-1.jpg
mix-veg-pickle-original-2.jpg
mix-veg-pickle-original-3.jpg</x:v>
      </x:c>
      <x:c r="C7" s="53" t="n">
        <x:v>3</x:v>
      </x:c>
      <x:c r="D7" s="53" t="str">
        <x:v>Not Run</x:v>
      </x:c>
      <x:c r="E7" s="53" t="str">
        <x:v>Not Run</x:v>
      </x:c>
      <x:c r="F7" s="53" t="str">
        <x:v>Not Run</x:v>
      </x:c>
      <x:c r="G7" s="53" t="str">
        <x:v>Not Run</x:v>
      </x:c>
      <x:c r="H7" s="53" t="str">
        <x:v>Not Run</x:v>
      </x:c>
      <x:c r="I7" s="53" t="str">
        <x:v>Not Run</x:v>
      </x:c>
      <x:c r="J7" s="53" t="str">
        <x:v>Not Run</x:v>
      </x:c>
      <x:c r="K7" s="53" t="str"/>
    </x:row>
    <x:row r="8" ht="74" customHeight="1">
      <x:c r="A8" s="53" t="str">
        <x:v>Chicken Boneless Pickle</x:v>
      </x:c>
      <x:c r="B8" s="53" t="str">
        <x:v>chicken-boneless-pickle-verified-1.jpg
chicken-boneless-pickle-verified-2.jpg
chicken-boneless-pickle-verified-3.jpg</x:v>
      </x:c>
      <x:c r="C8" s="53" t="n">
        <x:v>3</x:v>
      </x:c>
      <x:c r="D8" s="53" t="str">
        <x:v>Not Run</x:v>
      </x:c>
      <x:c r="E8" s="53" t="str">
        <x:v>Not Run</x:v>
      </x:c>
      <x:c r="F8" s="53" t="str">
        <x:v>Not Run</x:v>
      </x:c>
      <x:c r="G8" s="53" t="str">
        <x:v>Not Run</x:v>
      </x:c>
      <x:c r="H8" s="53" t="str">
        <x:v>Not Run</x:v>
      </x:c>
      <x:c r="I8" s="53" t="str">
        <x:v>Not Run</x:v>
      </x:c>
      <x:c r="J8" s="53" t="str">
        <x:v>Not Run</x:v>
      </x:c>
      <x:c r="K8" s="53" t="str"/>
    </x:row>
    <x:row r="9" ht="74" customHeight="1">
      <x:c r="A9" s="53" t="str">
        <x:v>Mutton Boneless</x:v>
      </x:c>
      <x:c r="B9" s="53" t="str">
        <x:v>mutton-boneless-pickle-verified-1.jpg
mutton-boneless-pickle-verified-2.jpg</x:v>
      </x:c>
      <x:c r="C9" s="53" t="n">
        <x:v>2</x:v>
      </x:c>
      <x:c r="D9" s="53" t="str">
        <x:v>Not Run</x:v>
      </x:c>
      <x:c r="E9" s="53" t="str">
        <x:v>Not Run</x:v>
      </x:c>
      <x:c r="F9" s="53" t="str">
        <x:v>Not Run</x:v>
      </x:c>
      <x:c r="G9" s="53" t="str">
        <x:v>Not Run</x:v>
      </x:c>
      <x:c r="H9" s="53" t="str">
        <x:v>Not Run</x:v>
      </x:c>
      <x:c r="I9" s="53" t="str">
        <x:v>Not Run</x:v>
      </x:c>
      <x:c r="J9" s="53" t="str">
        <x:v>Not Run</x:v>
      </x:c>
      <x:c r="K9" s="53" t="str"/>
    </x:row>
    <x:row r="10" ht="74" customHeight="1">
      <x:c r="A10" s="53" t="str">
        <x:v>Prawns / Shrimp Pickle</x:v>
      </x:c>
      <x:c r="B10" s="53" t="str">
        <x:v>shrimp-pickle-verified-1.jpg
shrimp-pickle-verified-2.jpg</x:v>
      </x:c>
      <x:c r="C10" s="53" t="n">
        <x:v>2</x:v>
      </x:c>
      <x:c r="D10" s="53" t="str">
        <x:v>Not Run</x:v>
      </x:c>
      <x:c r="E10" s="53" t="str">
        <x:v>Not Run</x:v>
      </x:c>
      <x:c r="F10" s="53" t="str">
        <x:v>Not Run</x:v>
      </x:c>
      <x:c r="G10" s="53" t="str">
        <x:v>Not Run</x:v>
      </x:c>
      <x:c r="H10" s="53" t="str">
        <x:v>Not Run</x:v>
      </x:c>
      <x:c r="I10" s="53" t="str">
        <x:v>Not Run</x:v>
      </x:c>
      <x:c r="J10" s="53" t="str">
        <x:v>Not Run</x:v>
      </x:c>
      <x:c r="K10" s="53" t="str"/>
    </x:row>
    <x:row r="11" ht="74" customHeight="1">
      <x:c r="A11" s="53" t="str">
        <x:v>Moringa Powder / Munagaku Podi</x:v>
      </x:c>
      <x:c r="B11" s="53" t="str">
        <x:v>moringa-podi-verified-1.jpg
moringa-podi-verified-2.jpg</x:v>
      </x:c>
      <x:c r="C11" s="53" t="n">
        <x:v>2</x:v>
      </x:c>
      <x:c r="D11" s="53" t="str">
        <x:v>Not Run</x:v>
      </x:c>
      <x:c r="E11" s="53" t="str">
        <x:v>Not Run</x:v>
      </x:c>
      <x:c r="F11" s="53" t="str">
        <x:v>Not Run</x:v>
      </x:c>
      <x:c r="G11" s="53" t="str">
        <x:v>Not Run</x:v>
      </x:c>
      <x:c r="H11" s="53" t="str">
        <x:v>Not Run</x:v>
      </x:c>
      <x:c r="I11" s="53" t="str">
        <x:v>Not Run</x:v>
      </x:c>
      <x:c r="J11" s="53" t="str">
        <x:v>Not Run</x:v>
      </x:c>
      <x:c r="K11" s="53" t="str"/>
    </x:row>
    <x:row r="12" ht="74" customHeight="1">
      <x:c r="A12" s="53" t="str">
        <x:v>Idli Podi</x:v>
      </x:c>
      <x:c r="B12" s="53" t="str">
        <x:v>idli-podi-verified-1.jpg
idli-podi-verified-2.jpg</x:v>
      </x:c>
      <x:c r="C12" s="53" t="n">
        <x:v>2</x:v>
      </x:c>
      <x:c r="D12" s="53" t="str">
        <x:v>Not Run</x:v>
      </x:c>
      <x:c r="E12" s="53" t="str">
        <x:v>Not Run</x:v>
      </x:c>
      <x:c r="F12" s="53" t="str">
        <x:v>Not Run</x:v>
      </x:c>
      <x:c r="G12" s="53" t="str">
        <x:v>Not Run</x:v>
      </x:c>
      <x:c r="H12" s="53" t="str">
        <x:v>Not Run</x:v>
      </x:c>
      <x:c r="I12" s="53" t="str">
        <x:v>Not Run</x:v>
      </x:c>
      <x:c r="J12" s="53" t="str">
        <x:v>Not Run</x:v>
      </x:c>
      <x:c r="K12" s="53" t="str"/>
    </x:row>
    <x:row r="13" ht="74" customHeight="1">
      <x:c r="A13" s="53" t="str">
        <x:v>Karivepaku Podi / Curry Leaf Powder</x:v>
      </x:c>
      <x:c r="B13" s="53" t="str">
        <x:v>curry-leaf-podi-verified-1.jpg
curry-leaf-podi-verified-2.jpg</x:v>
      </x:c>
      <x:c r="C13" s="53" t="n">
        <x:v>2</x:v>
      </x:c>
      <x:c r="D13" s="53" t="str">
        <x:v>Not Run</x:v>
      </x:c>
      <x:c r="E13" s="53" t="str">
        <x:v>Not Run</x:v>
      </x:c>
      <x:c r="F13" s="53" t="str">
        <x:v>Not Run</x:v>
      </x:c>
      <x:c r="G13" s="53" t="str">
        <x:v>Not Run</x:v>
      </x:c>
      <x:c r="H13" s="53" t="str">
        <x:v>Not Run</x:v>
      </x:c>
      <x:c r="I13" s="53" t="str">
        <x:v>Not Run</x:v>
      </x:c>
      <x:c r="J13" s="53" t="str">
        <x:v>Not Run</x:v>
      </x:c>
      <x:c r="K13" s="53" t="str"/>
    </x:row>
    <x:row r="14" ht="74" customHeight="1">
      <x:c r="A14" s="53" t="str">
        <x:v>Karela / Kakarakaya Pickle</x:v>
      </x:c>
      <x:c r="B14" s="53" t="str">
        <x:v>karela-pickle-verified-1.jpg
karela-pickle-verified-2.jpg</x:v>
      </x:c>
      <x:c r="C14" s="53" t="n">
        <x:v>2</x:v>
      </x:c>
      <x:c r="D14" s="53" t="str">
        <x:v>Not Run</x:v>
      </x:c>
      <x:c r="E14" s="53" t="str">
        <x:v>Not Run</x:v>
      </x:c>
      <x:c r="F14" s="53" t="str">
        <x:v>Not Run</x:v>
      </x:c>
      <x:c r="G14" s="53" t="str">
        <x:v>Not Run</x:v>
      </x:c>
      <x:c r="H14" s="53" t="str">
        <x:v>Not Run</x:v>
      </x:c>
      <x:c r="I14" s="53" t="str">
        <x:v>Not Run</x:v>
      </x:c>
      <x:c r="J14" s="53" t="str">
        <x:v>Not Run</x:v>
      </x:c>
      <x:c r="K14" s="53" t="str"/>
    </x:row>
    <x:row r="15" ht="74" customHeight="1">
      <x:c r="A15" s="53" t="str">
        <x:v>Flaxseed Podi</x:v>
      </x:c>
      <x:c r="B15" s="53" t="str">
        <x:v>flaxseed-podi-verified-1.jpg
flaxseed-podi-verified-2.jpg</x:v>
      </x:c>
      <x:c r="C15" s="53" t="n">
        <x:v>2</x:v>
      </x:c>
      <x:c r="D15" s="53" t="str">
        <x:v>Not Run</x:v>
      </x:c>
      <x:c r="E15" s="53" t="str">
        <x:v>Not Run</x:v>
      </x:c>
      <x:c r="F15" s="53" t="str">
        <x:v>Not Run</x:v>
      </x:c>
      <x:c r="G15" s="53" t="str">
        <x:v>Not Run</x:v>
      </x:c>
      <x:c r="H15" s="53" t="str">
        <x:v>Not Run</x:v>
      </x:c>
      <x:c r="I15" s="53" t="str">
        <x:v>Not Run</x:v>
      </x:c>
      <x:c r="J15" s="53" t="str">
        <x:v>Not Run</x:v>
      </x:c>
      <x:c r="K15" s="53" t="str"/>
    </x:row>
    <x:row r="16" ht="74" customHeight="1">
      <x:c r="A16" s="53" t="str">
        <x:v>Kakarakaya Karam / Bitter Gourd Podi</x:v>
      </x:c>
      <x:c r="B16" s="53" t="str">
        <x:v>karela-podi-verified-1.jpg
karela-podi-verified-2.jpg</x:v>
      </x:c>
      <x:c r="C16" s="53" t="n">
        <x:v>2</x:v>
      </x:c>
      <x:c r="D16" s="53" t="str">
        <x:v>Not Run</x:v>
      </x:c>
      <x:c r="E16" s="53" t="str">
        <x:v>Not Run</x:v>
      </x:c>
      <x:c r="F16" s="53" t="str">
        <x:v>Not Run</x:v>
      </x:c>
      <x:c r="G16" s="53" t="str">
        <x:v>Not Run</x:v>
      </x:c>
      <x:c r="H16" s="53" t="str">
        <x:v>Not Run</x:v>
      </x:c>
      <x:c r="I16" s="53" t="str">
        <x:v>Not Run</x:v>
      </x:c>
      <x:c r="J16" s="53" t="str">
        <x:v>Not Run</x:v>
      </x:c>
      <x:c r="K16" s="53" t="str"/>
    </x:row>
  </x:sheetData>
  <x:mergeCells>
    <x:mergeCell ref="A1:K1"/>
    <x:mergeCell ref="A2:K2"/>
  </x:mergeCells>
  <x:conditionalFormatting sqref="D4:D16">
    <x:cfRule type="expression" dxfId="8" priority="1">
      <x:formula>$D4="Pass"</x:formula>
    </x:cfRule>
    <x:cfRule type="expression" dxfId="9" priority="2">
      <x:formula>$D4="Fail"</x:formula>
    </x:cfRule>
    <x:cfRule type="expression" dxfId="10" priority="3">
      <x:formula>$D4="Blocked"</x:formula>
    </x:cfRule>
    <x:cfRule type="expression" dxfId="11" priority="4">
      <x:formula>$D4="N/A"</x:formula>
    </x:cfRule>
  </x:conditionalFormatting>
  <x:conditionalFormatting sqref="E4:E16">
    <x:cfRule type="expression" dxfId="12" priority="5">
      <x:formula>$E4="Pass"</x:formula>
    </x:cfRule>
    <x:cfRule type="expression" dxfId="13" priority="6">
      <x:formula>$E4="Fail"</x:formula>
    </x:cfRule>
    <x:cfRule type="expression" dxfId="14" priority="7">
      <x:formula>$E4="Blocked"</x:formula>
    </x:cfRule>
    <x:cfRule type="expression" dxfId="15" priority="8">
      <x:formula>$E4="N/A"</x:formula>
    </x:cfRule>
  </x:conditionalFormatting>
  <x:conditionalFormatting sqref="F4:F16">
    <x:cfRule type="expression" dxfId="16" priority="9">
      <x:formula>$F4="Pass"</x:formula>
    </x:cfRule>
    <x:cfRule type="expression" dxfId="17" priority="10">
      <x:formula>$F4="Fail"</x:formula>
    </x:cfRule>
    <x:cfRule type="expression" dxfId="18" priority="11">
      <x:formula>$F4="Blocked"</x:formula>
    </x:cfRule>
    <x:cfRule type="expression" dxfId="19" priority="12">
      <x:formula>$F4="N/A"</x:formula>
    </x:cfRule>
  </x:conditionalFormatting>
  <x:conditionalFormatting sqref="G4:G16">
    <x:cfRule type="expression" dxfId="20" priority="13">
      <x:formula>$G4="Pass"</x:formula>
    </x:cfRule>
    <x:cfRule type="expression" dxfId="21" priority="14">
      <x:formula>$G4="Fail"</x:formula>
    </x:cfRule>
    <x:cfRule type="expression" dxfId="22" priority="15">
      <x:formula>$G4="Blocked"</x:formula>
    </x:cfRule>
    <x:cfRule type="expression" dxfId="23" priority="16">
      <x:formula>$G4="N/A"</x:formula>
    </x:cfRule>
  </x:conditionalFormatting>
  <x:conditionalFormatting sqref="H4:H16">
    <x:cfRule type="expression" dxfId="24" priority="17">
      <x:formula>$H4="Pass"</x:formula>
    </x:cfRule>
    <x:cfRule type="expression" dxfId="25" priority="18">
      <x:formula>$H4="Fail"</x:formula>
    </x:cfRule>
    <x:cfRule type="expression" dxfId="26" priority="19">
      <x:formula>$H4="Blocked"</x:formula>
    </x:cfRule>
    <x:cfRule type="expression" dxfId="27" priority="20">
      <x:formula>$H4="N/A"</x:formula>
    </x:cfRule>
  </x:conditionalFormatting>
  <x:conditionalFormatting sqref="I4:I16">
    <x:cfRule type="expression" dxfId="28" priority="21">
      <x:formula>$I4="Pass"</x:formula>
    </x:cfRule>
    <x:cfRule type="expression" dxfId="29" priority="22">
      <x:formula>$I4="Fail"</x:formula>
    </x:cfRule>
    <x:cfRule type="expression" dxfId="30" priority="23">
      <x:formula>$I4="Blocked"</x:formula>
    </x:cfRule>
    <x:cfRule type="expression" dxfId="31" priority="24">
      <x:formula>$I4="N/A"</x:formula>
    </x:cfRule>
  </x:conditionalFormatting>
  <x:conditionalFormatting sqref="J4:J16">
    <x:cfRule type="expression" dxfId="32" priority="25">
      <x:formula>$J4="Pass"</x:formula>
    </x:cfRule>
    <x:cfRule type="expression" dxfId="33" priority="26">
      <x:formula>$J4="Fail"</x:formula>
    </x:cfRule>
    <x:cfRule type="expression" dxfId="34" priority="27">
      <x:formula>$J4="Blocked"</x:formula>
    </x:cfRule>
    <x:cfRule type="expression" dxfId="35" priority="28">
      <x:formula>$J4="N/A"</x:formula>
    </x:cfRule>
  </x:conditionalFormatting>
  <x:dataValidations count="7">
    <x:dataValidation type="list" sqref="D4:D16">
      <x:formula1>"Not Run,Pass,Fail,Blocked,N/A"</x:formula1>
    </x:dataValidation>
    <x:dataValidation type="list" sqref="E4:E16">
      <x:formula1>"Not Run,Pass,Fail,Blocked,N/A"</x:formula1>
    </x:dataValidation>
    <x:dataValidation type="list" sqref="F4:F16">
      <x:formula1>"Not Run,Pass,Fail,Blocked,N/A"</x:formula1>
    </x:dataValidation>
    <x:dataValidation type="list" sqref="G4:G16">
      <x:formula1>"Not Run,Pass,Fail,Blocked,N/A"</x:formula1>
    </x:dataValidation>
    <x:dataValidation type="list" sqref="H4:H16">
      <x:formula1>"Not Run,Pass,Fail,Blocked,N/A"</x:formula1>
    </x:dataValidation>
    <x:dataValidation type="list" sqref="I4:I16">
      <x:formula1>"Not Run,Pass,Fail,Blocked,N/A"</x:formula1>
    </x:dataValidation>
    <x:dataValidation type="list" sqref="J4:J16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5e4f0048cf403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12" hidden="0" customWidth="1"/>
    <x:col min="5" max="5" width="20" hidden="0" customWidth="1"/>
    <x:col min="6" max="6" width="17" hidden="0" customWidth="1"/>
    <x:col min="7" max="7" width="22" hidden="0" customWidth="1"/>
    <x:col min="8" max="8" width="38" hidden="0" customWidth="1"/>
    <x:col min="9" max="9" width="30" hidden="0" customWidth="1"/>
    <x:col min="10" max="10" width="30" hidden="0" customWidth="1"/>
    <x:col min="11" max="11" width="24" hidden="0" customWidth="1"/>
    <x:col min="12" max="12" width="16" hidden="0" customWidth="1"/>
    <x:col min="13" max="13" width="18" hidden="0" customWidth="1"/>
    <x:col min="14" max="14" width="13" hidden="0" customWidth="1"/>
    <x:col min="15" max="15" width="30" hidden="0" customWidth="1"/>
  </x:cols>
  <x:sheetData>
    <x:row r="1" ht="34" customHeight="1">
      <x:c r="A1" s="3" t="str">
        <x:v>Defect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6" customHeight="1">
      <x:c r="A2" s="7" t="str">
        <x:v>Create one row for every failed test. Keep reproduction steps exact and attach evidence.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32" customHeight="1">
      <x:c r="A3" s="29" t="str">
        <x:v>Defect ID</x:v>
      </x:c>
      <x:c r="B3" s="29" t="str">
        <x:v>Test Case ID</x:v>
      </x:c>
      <x:c r="C3" s="29" t="str">
        <x:v>Title</x:v>
      </x:c>
      <x:c r="D3" s="29" t="str">
        <x:v>Severity</x:v>
      </x:c>
      <x:c r="E3" s="29" t="str">
        <x:v>Page / Feature</x:v>
      </x:c>
      <x:c r="F3" s="29" t="str">
        <x:v>Environment</x:v>
      </x:c>
      <x:c r="G3" s="29" t="str">
        <x:v>Device / Browser</x:v>
      </x:c>
      <x:c r="H3" s="29" t="str">
        <x:v>Reproduction Steps</x:v>
      </x:c>
      <x:c r="I3" s="29" t="str">
        <x:v>Actual Result</x:v>
      </x:c>
      <x:c r="J3" s="29" t="str">
        <x:v>Expected Result</x:v>
      </x:c>
      <x:c r="K3" s="29" t="str">
        <x:v>Evidence</x:v>
      </x:c>
      <x:c r="L3" s="29" t="str">
        <x:v>Owner</x:v>
      </x:c>
      <x:c r="M3" s="29" t="str">
        <x:v>Status</x:v>
      </x:c>
      <x:c r="N3" s="29" t="str">
        <x:v>Opened</x:v>
      </x:c>
      <x:c r="O3" s="29" t="str">
        <x:v>Closed / Retest Notes</x:v>
      </x:c>
    </x:row>
    <x:row r="4" ht="50" customHeight="1">
      <x:c r="A4" s="53" t="str">
        <x:v>BUG-001</x:v>
      </x:c>
      <x:c r="B4" s="53" t="str"/>
      <x:c r="C4" s="53" t="str"/>
      <x:c r="D4" s="53" t="str">
        <x:v>Medium</x:v>
      </x:c>
      <x:c r="E4" s="53" t="str"/>
      <x:c r="F4" s="53" t="str">
        <x:v>Development</x:v>
      </x:c>
      <x:c r="G4" s="53" t="str"/>
      <x:c r="H4" s="53" t="str"/>
      <x:c r="I4" s="53" t="str"/>
      <x:c r="J4" s="53" t="str"/>
      <x:c r="K4" s="53" t="str"/>
      <x:c r="L4" s="53" t="str"/>
      <x:c r="M4" s="53" t="str">
        <x:v>Open</x:v>
      </x:c>
      <x:c r="N4" s="54" t="str"/>
      <x:c r="O4" s="53" t="str"/>
    </x:row>
    <x:row r="5" ht="50" customHeight="1">
      <x:c r="A5" s="53" t="str">
        <x:v>BUG-002</x:v>
      </x:c>
      <x:c r="B5" s="53" t="str"/>
      <x:c r="C5" s="53" t="str"/>
      <x:c r="D5" s="53" t="str">
        <x:v>Medium</x:v>
      </x:c>
      <x:c r="E5" s="53" t="str"/>
      <x:c r="F5" s="53" t="str">
        <x:v>Development</x:v>
      </x:c>
      <x:c r="G5" s="53" t="str"/>
      <x:c r="H5" s="53" t="str"/>
      <x:c r="I5" s="53" t="str"/>
      <x:c r="J5" s="53" t="str"/>
      <x:c r="K5" s="53" t="str"/>
      <x:c r="L5" s="53" t="str"/>
      <x:c r="M5" s="53" t="str">
        <x:v>Open</x:v>
      </x:c>
      <x:c r="N5" s="54" t="str"/>
      <x:c r="O5" s="53" t="str"/>
    </x:row>
    <x:row r="6" ht="50" customHeight="1">
      <x:c r="A6" s="53" t="str">
        <x:v>BUG-003</x:v>
      </x:c>
      <x:c r="B6" s="53" t="str"/>
      <x:c r="C6" s="53" t="str"/>
      <x:c r="D6" s="53" t="str">
        <x:v>Medium</x:v>
      </x:c>
      <x:c r="E6" s="53" t="str"/>
      <x:c r="F6" s="53" t="str">
        <x:v>Development</x:v>
      </x:c>
      <x:c r="G6" s="53" t="str"/>
      <x:c r="H6" s="53" t="str"/>
      <x:c r="I6" s="53" t="str"/>
      <x:c r="J6" s="53" t="str"/>
      <x:c r="K6" s="53" t="str"/>
      <x:c r="L6" s="53" t="str"/>
      <x:c r="M6" s="53" t="str">
        <x:v>Open</x:v>
      </x:c>
      <x:c r="N6" s="54" t="str"/>
      <x:c r="O6" s="53" t="str"/>
    </x:row>
    <x:row r="7" ht="50" customHeight="1">
      <x:c r="A7" s="53" t="str">
        <x:v>BUG-004</x:v>
      </x:c>
      <x:c r="B7" s="53" t="str"/>
      <x:c r="C7" s="53" t="str"/>
      <x:c r="D7" s="53" t="str">
        <x:v>Medium</x:v>
      </x:c>
      <x:c r="E7" s="53" t="str"/>
      <x:c r="F7" s="53" t="str">
        <x:v>Development</x:v>
      </x:c>
      <x:c r="G7" s="53" t="str"/>
      <x:c r="H7" s="53" t="str"/>
      <x:c r="I7" s="53" t="str"/>
      <x:c r="J7" s="53" t="str"/>
      <x:c r="K7" s="53" t="str"/>
      <x:c r="L7" s="53" t="str"/>
      <x:c r="M7" s="53" t="str">
        <x:v>Open</x:v>
      </x:c>
      <x:c r="N7" s="54" t="str"/>
      <x:c r="O7" s="53" t="str"/>
    </x:row>
    <x:row r="8" ht="50" customHeight="1">
      <x:c r="A8" s="53" t="str">
        <x:v>BUG-005</x:v>
      </x:c>
      <x:c r="B8" s="53" t="str"/>
      <x:c r="C8" s="53" t="str"/>
      <x:c r="D8" s="53" t="str">
        <x:v>Medium</x:v>
      </x:c>
      <x:c r="E8" s="53" t="str"/>
      <x:c r="F8" s="53" t="str">
        <x:v>Development</x:v>
      </x:c>
      <x:c r="G8" s="53" t="str"/>
      <x:c r="H8" s="53" t="str"/>
      <x:c r="I8" s="53" t="str"/>
      <x:c r="J8" s="53" t="str"/>
      <x:c r="K8" s="53" t="str"/>
      <x:c r="L8" s="53" t="str"/>
      <x:c r="M8" s="53" t="str">
        <x:v>Open</x:v>
      </x:c>
      <x:c r="N8" s="54" t="str"/>
      <x:c r="O8" s="53" t="str"/>
    </x:row>
    <x:row r="9" ht="50" customHeight="1">
      <x:c r="A9" s="53" t="str">
        <x:v>BUG-006</x:v>
      </x:c>
      <x:c r="B9" s="53" t="str"/>
      <x:c r="C9" s="53" t="str"/>
      <x:c r="D9" s="53" t="str">
        <x:v>Medium</x:v>
      </x:c>
      <x:c r="E9" s="53" t="str"/>
      <x:c r="F9" s="53" t="str">
        <x:v>Development</x:v>
      </x:c>
      <x:c r="G9" s="53" t="str"/>
      <x:c r="H9" s="53" t="str"/>
      <x:c r="I9" s="53" t="str"/>
      <x:c r="J9" s="53" t="str"/>
      <x:c r="K9" s="53" t="str"/>
      <x:c r="L9" s="53" t="str"/>
      <x:c r="M9" s="53" t="str">
        <x:v>Open</x:v>
      </x:c>
      <x:c r="N9" s="54" t="str"/>
      <x:c r="O9" s="53" t="str"/>
    </x:row>
    <x:row r="10" ht="50" customHeight="1">
      <x:c r="A10" s="53" t="str">
        <x:v>BUG-007</x:v>
      </x:c>
      <x:c r="B10" s="53" t="str"/>
      <x:c r="C10" s="53" t="str"/>
      <x:c r="D10" s="53" t="str">
        <x:v>Medium</x:v>
      </x:c>
      <x:c r="E10" s="53" t="str"/>
      <x:c r="F10" s="53" t="str">
        <x:v>Development</x:v>
      </x:c>
      <x:c r="G10" s="53" t="str"/>
      <x:c r="H10" s="53" t="str"/>
      <x:c r="I10" s="53" t="str"/>
      <x:c r="J10" s="53" t="str"/>
      <x:c r="K10" s="53" t="str"/>
      <x:c r="L10" s="53" t="str"/>
      <x:c r="M10" s="53" t="str">
        <x:v>Open</x:v>
      </x:c>
      <x:c r="N10" s="54" t="str"/>
      <x:c r="O10" s="53" t="str"/>
    </x:row>
    <x:row r="11" ht="50" customHeight="1">
      <x:c r="A11" s="53" t="str">
        <x:v>BUG-008</x:v>
      </x:c>
      <x:c r="B11" s="53" t="str"/>
      <x:c r="C11" s="53" t="str"/>
      <x:c r="D11" s="53" t="str">
        <x:v>Medium</x:v>
      </x:c>
      <x:c r="E11" s="53" t="str"/>
      <x:c r="F11" s="53" t="str">
        <x:v>Development</x:v>
      </x:c>
      <x:c r="G11" s="53" t="str"/>
      <x:c r="H11" s="53" t="str"/>
      <x:c r="I11" s="53" t="str"/>
      <x:c r="J11" s="53" t="str"/>
      <x:c r="K11" s="53" t="str"/>
      <x:c r="L11" s="53" t="str"/>
      <x:c r="M11" s="53" t="str">
        <x:v>Open</x:v>
      </x:c>
      <x:c r="N11" s="54" t="str"/>
      <x:c r="O11" s="53" t="str"/>
    </x:row>
    <x:row r="12" ht="50" customHeight="1">
      <x:c r="A12" s="53" t="str">
        <x:v>BUG-009</x:v>
      </x:c>
      <x:c r="B12" s="53" t="str"/>
      <x:c r="C12" s="53" t="str"/>
      <x:c r="D12" s="53" t="str">
        <x:v>Medium</x:v>
      </x:c>
      <x:c r="E12" s="53" t="str"/>
      <x:c r="F12" s="53" t="str">
        <x:v>Development</x:v>
      </x:c>
      <x:c r="G12" s="53" t="str"/>
      <x:c r="H12" s="53" t="str"/>
      <x:c r="I12" s="53" t="str"/>
      <x:c r="J12" s="53" t="str"/>
      <x:c r="K12" s="53" t="str"/>
      <x:c r="L12" s="53" t="str"/>
      <x:c r="M12" s="53" t="str">
        <x:v>Open</x:v>
      </x:c>
      <x:c r="N12" s="54" t="str"/>
      <x:c r="O12" s="53" t="str"/>
    </x:row>
    <x:row r="13" ht="50" customHeight="1">
      <x:c r="A13" s="53" t="str">
        <x:v>BUG-010</x:v>
      </x:c>
      <x:c r="B13" s="53" t="str"/>
      <x:c r="C13" s="53" t="str"/>
      <x:c r="D13" s="53" t="str">
        <x:v>Medium</x:v>
      </x:c>
      <x:c r="E13" s="53" t="str"/>
      <x:c r="F13" s="53" t="str">
        <x:v>Development</x:v>
      </x:c>
      <x:c r="G13" s="53" t="str"/>
      <x:c r="H13" s="53" t="str"/>
      <x:c r="I13" s="53" t="str"/>
      <x:c r="J13" s="53" t="str"/>
      <x:c r="K13" s="53" t="str"/>
      <x:c r="L13" s="53" t="str"/>
      <x:c r="M13" s="53" t="str">
        <x:v>Open</x:v>
      </x:c>
      <x:c r="N13" s="54" t="str"/>
      <x:c r="O13" s="53" t="str"/>
    </x:row>
    <x:row r="14" ht="50" customHeight="1">
      <x:c r="A14" s="53" t="str">
        <x:v>BUG-011</x:v>
      </x:c>
      <x:c r="B14" s="53" t="str"/>
      <x:c r="C14" s="53" t="str"/>
      <x:c r="D14" s="53" t="str">
        <x:v>Medium</x:v>
      </x:c>
      <x:c r="E14" s="53" t="str"/>
      <x:c r="F14" s="53" t="str">
        <x:v>Development</x:v>
      </x:c>
      <x:c r="G14" s="53" t="str"/>
      <x:c r="H14" s="53" t="str"/>
      <x:c r="I14" s="53" t="str"/>
      <x:c r="J14" s="53" t="str"/>
      <x:c r="K14" s="53" t="str"/>
      <x:c r="L14" s="53" t="str"/>
      <x:c r="M14" s="53" t="str">
        <x:v>Open</x:v>
      </x:c>
      <x:c r="N14" s="54" t="str"/>
      <x:c r="O14" s="53" t="str"/>
    </x:row>
    <x:row r="15" ht="50" customHeight="1">
      <x:c r="A15" s="53" t="str">
        <x:v>BUG-012</x:v>
      </x:c>
      <x:c r="B15" s="53" t="str"/>
      <x:c r="C15" s="53" t="str"/>
      <x:c r="D15" s="53" t="str">
        <x:v>Medium</x:v>
      </x:c>
      <x:c r="E15" s="53" t="str"/>
      <x:c r="F15" s="53" t="str">
        <x:v>Development</x:v>
      </x:c>
      <x:c r="G15" s="53" t="str"/>
      <x:c r="H15" s="53" t="str"/>
      <x:c r="I15" s="53" t="str"/>
      <x:c r="J15" s="53" t="str"/>
      <x:c r="K15" s="53" t="str"/>
      <x:c r="L15" s="53" t="str"/>
      <x:c r="M15" s="53" t="str">
        <x:v>Open</x:v>
      </x:c>
      <x:c r="N15" s="54" t="str"/>
      <x:c r="O15" s="53" t="str"/>
    </x:row>
    <x:row r="16" ht="50" customHeight="1">
      <x:c r="A16" s="53" t="str">
        <x:v>BUG-013</x:v>
      </x:c>
      <x:c r="B16" s="53" t="str"/>
      <x:c r="C16" s="53" t="str"/>
      <x:c r="D16" s="53" t="str">
        <x:v>Medium</x:v>
      </x:c>
      <x:c r="E16" s="53" t="str"/>
      <x:c r="F16" s="53" t="str">
        <x:v>Development</x:v>
      </x:c>
      <x:c r="G16" s="53" t="str"/>
      <x:c r="H16" s="53" t="str"/>
      <x:c r="I16" s="53" t="str"/>
      <x:c r="J16" s="53" t="str"/>
      <x:c r="K16" s="53" t="str"/>
      <x:c r="L16" s="53" t="str"/>
      <x:c r="M16" s="53" t="str">
        <x:v>Open</x:v>
      </x:c>
      <x:c r="N16" s="54" t="str"/>
      <x:c r="O16" s="53" t="str"/>
    </x:row>
    <x:row r="17" ht="50" customHeight="1">
      <x:c r="A17" s="53" t="str">
        <x:v>BUG-014</x:v>
      </x:c>
      <x:c r="B17" s="53" t="str"/>
      <x:c r="C17" s="53" t="str"/>
      <x:c r="D17" s="53" t="str">
        <x:v>Medium</x:v>
      </x:c>
      <x:c r="E17" s="53" t="str"/>
      <x:c r="F17" s="53" t="str">
        <x:v>Development</x:v>
      </x:c>
      <x:c r="G17" s="53" t="str"/>
      <x:c r="H17" s="53" t="str"/>
      <x:c r="I17" s="53" t="str"/>
      <x:c r="J17" s="53" t="str"/>
      <x:c r="K17" s="53" t="str"/>
      <x:c r="L17" s="53" t="str"/>
      <x:c r="M17" s="53" t="str">
        <x:v>Open</x:v>
      </x:c>
      <x:c r="N17" s="54" t="str"/>
      <x:c r="O17" s="53" t="str"/>
    </x:row>
    <x:row r="18" ht="50" customHeight="1">
      <x:c r="A18" s="53" t="str">
        <x:v>BUG-015</x:v>
      </x:c>
      <x:c r="B18" s="53" t="str"/>
      <x:c r="C18" s="53" t="str"/>
      <x:c r="D18" s="53" t="str">
        <x:v>Medium</x:v>
      </x:c>
      <x:c r="E18" s="53" t="str"/>
      <x:c r="F18" s="53" t="str">
        <x:v>Development</x:v>
      </x:c>
      <x:c r="G18" s="53" t="str"/>
      <x:c r="H18" s="53" t="str"/>
      <x:c r="I18" s="53" t="str"/>
      <x:c r="J18" s="53" t="str"/>
      <x:c r="K18" s="53" t="str"/>
      <x:c r="L18" s="53" t="str"/>
      <x:c r="M18" s="53" t="str">
        <x:v>Open</x:v>
      </x:c>
      <x:c r="N18" s="54" t="str"/>
      <x:c r="O18" s="53" t="str"/>
    </x:row>
    <x:row r="19" ht="50" customHeight="1">
      <x:c r="A19" s="53" t="str">
        <x:v>BUG-016</x:v>
      </x:c>
      <x:c r="B19" s="53" t="str"/>
      <x:c r="C19" s="53" t="str"/>
      <x:c r="D19" s="53" t="str">
        <x:v>Medium</x:v>
      </x:c>
      <x:c r="E19" s="53" t="str"/>
      <x:c r="F19" s="53" t="str">
        <x:v>Development</x:v>
      </x:c>
      <x:c r="G19" s="53" t="str"/>
      <x:c r="H19" s="53" t="str"/>
      <x:c r="I19" s="53" t="str"/>
      <x:c r="J19" s="53" t="str"/>
      <x:c r="K19" s="53" t="str"/>
      <x:c r="L19" s="53" t="str"/>
      <x:c r="M19" s="53" t="str">
        <x:v>Open</x:v>
      </x:c>
      <x:c r="N19" s="54" t="str"/>
      <x:c r="O19" s="53" t="str"/>
    </x:row>
    <x:row r="20" ht="50" customHeight="1">
      <x:c r="A20" s="53" t="str">
        <x:v>BUG-017</x:v>
      </x:c>
      <x:c r="B20" s="53" t="str"/>
      <x:c r="C20" s="53" t="str"/>
      <x:c r="D20" s="53" t="str">
        <x:v>Medium</x:v>
      </x:c>
      <x:c r="E20" s="53" t="str"/>
      <x:c r="F20" s="53" t="str">
        <x:v>Development</x:v>
      </x:c>
      <x:c r="G20" s="53" t="str"/>
      <x:c r="H20" s="53" t="str"/>
      <x:c r="I20" s="53" t="str"/>
      <x:c r="J20" s="53" t="str"/>
      <x:c r="K20" s="53" t="str"/>
      <x:c r="L20" s="53" t="str"/>
      <x:c r="M20" s="53" t="str">
        <x:v>Open</x:v>
      </x:c>
      <x:c r="N20" s="54" t="str"/>
      <x:c r="O20" s="53" t="str"/>
    </x:row>
    <x:row r="21" ht="50" customHeight="1">
      <x:c r="A21" s="53" t="str">
        <x:v>BUG-018</x:v>
      </x:c>
      <x:c r="B21" s="53" t="str"/>
      <x:c r="C21" s="53" t="str"/>
      <x:c r="D21" s="53" t="str">
        <x:v>Medium</x:v>
      </x:c>
      <x:c r="E21" s="53" t="str"/>
      <x:c r="F21" s="53" t="str">
        <x:v>Development</x:v>
      </x:c>
      <x:c r="G21" s="53" t="str"/>
      <x:c r="H21" s="53" t="str"/>
      <x:c r="I21" s="53" t="str"/>
      <x:c r="J21" s="53" t="str"/>
      <x:c r="K21" s="53" t="str"/>
      <x:c r="L21" s="53" t="str"/>
      <x:c r="M21" s="53" t="str">
        <x:v>Open</x:v>
      </x:c>
      <x:c r="N21" s="54" t="str"/>
      <x:c r="O21" s="53" t="str"/>
    </x:row>
    <x:row r="22" ht="50" customHeight="1">
      <x:c r="A22" s="53" t="str">
        <x:v>BUG-019</x:v>
      </x:c>
      <x:c r="B22" s="53" t="str"/>
      <x:c r="C22" s="53" t="str"/>
      <x:c r="D22" s="53" t="str">
        <x:v>Medium</x:v>
      </x:c>
      <x:c r="E22" s="53" t="str"/>
      <x:c r="F22" s="53" t="str">
        <x:v>Development</x:v>
      </x:c>
      <x:c r="G22" s="53" t="str"/>
      <x:c r="H22" s="53" t="str"/>
      <x:c r="I22" s="53" t="str"/>
      <x:c r="J22" s="53" t="str"/>
      <x:c r="K22" s="53" t="str"/>
      <x:c r="L22" s="53" t="str"/>
      <x:c r="M22" s="53" t="str">
        <x:v>Open</x:v>
      </x:c>
      <x:c r="N22" s="54" t="str"/>
      <x:c r="O22" s="53" t="str"/>
    </x:row>
    <x:row r="23" ht="50" customHeight="1">
      <x:c r="A23" s="53" t="str">
        <x:v>BUG-020</x:v>
      </x:c>
      <x:c r="B23" s="53" t="str"/>
      <x:c r="C23" s="53" t="str"/>
      <x:c r="D23" s="53" t="str">
        <x:v>Medium</x:v>
      </x:c>
      <x:c r="E23" s="53" t="str"/>
      <x:c r="F23" s="53" t="str">
        <x:v>Development</x:v>
      </x:c>
      <x:c r="G23" s="53" t="str"/>
      <x:c r="H23" s="53" t="str"/>
      <x:c r="I23" s="53" t="str"/>
      <x:c r="J23" s="53" t="str"/>
      <x:c r="K23" s="53" t="str"/>
      <x:c r="L23" s="53" t="str"/>
      <x:c r="M23" s="53" t="str">
        <x:v>Open</x:v>
      </x:c>
      <x:c r="N23" s="54" t="str"/>
      <x:c r="O23" s="53" t="str"/>
    </x:row>
    <x:row r="24" ht="50" customHeight="1">
      <x:c r="A24" s="53" t="str">
        <x:v>BUG-021</x:v>
      </x:c>
      <x:c r="B24" s="53" t="str"/>
      <x:c r="C24" s="53" t="str"/>
      <x:c r="D24" s="53" t="str">
        <x:v>Medium</x:v>
      </x:c>
      <x:c r="E24" s="53" t="str"/>
      <x:c r="F24" s="53" t="str">
        <x:v>Development</x:v>
      </x:c>
      <x:c r="G24" s="53" t="str"/>
      <x:c r="H24" s="53" t="str"/>
      <x:c r="I24" s="53" t="str"/>
      <x:c r="J24" s="53" t="str"/>
      <x:c r="K24" s="53" t="str"/>
      <x:c r="L24" s="53" t="str"/>
      <x:c r="M24" s="53" t="str">
        <x:v>Open</x:v>
      </x:c>
      <x:c r="N24" s="54" t="str"/>
      <x:c r="O24" s="53" t="str"/>
    </x:row>
    <x:row r="25" ht="50" customHeight="1">
      <x:c r="A25" s="53" t="str">
        <x:v>BUG-022</x:v>
      </x:c>
      <x:c r="B25" s="53" t="str"/>
      <x:c r="C25" s="53" t="str"/>
      <x:c r="D25" s="53" t="str">
        <x:v>Medium</x:v>
      </x:c>
      <x:c r="E25" s="53" t="str"/>
      <x:c r="F25" s="53" t="str">
        <x:v>Development</x:v>
      </x:c>
      <x:c r="G25" s="53" t="str"/>
      <x:c r="H25" s="53" t="str"/>
      <x:c r="I25" s="53" t="str"/>
      <x:c r="J25" s="53" t="str"/>
      <x:c r="K25" s="53" t="str"/>
      <x:c r="L25" s="53" t="str"/>
      <x:c r="M25" s="53" t="str">
        <x:v>Open</x:v>
      </x:c>
      <x:c r="N25" s="54" t="str"/>
      <x:c r="O25" s="53" t="str"/>
    </x:row>
    <x:row r="26" ht="50" customHeight="1">
      <x:c r="A26" s="53" t="str">
        <x:v>BUG-023</x:v>
      </x:c>
      <x:c r="B26" s="53" t="str"/>
      <x:c r="C26" s="53" t="str"/>
      <x:c r="D26" s="53" t="str">
        <x:v>Medium</x:v>
      </x:c>
      <x:c r="E26" s="53" t="str"/>
      <x:c r="F26" s="53" t="str">
        <x:v>Development</x:v>
      </x:c>
      <x:c r="G26" s="53" t="str"/>
      <x:c r="H26" s="53" t="str"/>
      <x:c r="I26" s="53" t="str"/>
      <x:c r="J26" s="53" t="str"/>
      <x:c r="K26" s="53" t="str"/>
      <x:c r="L26" s="53" t="str"/>
      <x:c r="M26" s="53" t="str">
        <x:v>Open</x:v>
      </x:c>
      <x:c r="N26" s="54" t="str"/>
      <x:c r="O26" s="53" t="str"/>
    </x:row>
    <x:row r="27" ht="50" customHeight="1">
      <x:c r="A27" s="53" t="str">
        <x:v>BUG-024</x:v>
      </x:c>
      <x:c r="B27" s="53" t="str"/>
      <x:c r="C27" s="53" t="str"/>
      <x:c r="D27" s="53" t="str">
        <x:v>Medium</x:v>
      </x:c>
      <x:c r="E27" s="53" t="str"/>
      <x:c r="F27" s="53" t="str">
        <x:v>Development</x:v>
      </x:c>
      <x:c r="G27" s="53" t="str"/>
      <x:c r="H27" s="53" t="str"/>
      <x:c r="I27" s="53" t="str"/>
      <x:c r="J27" s="53" t="str"/>
      <x:c r="K27" s="53" t="str"/>
      <x:c r="L27" s="53" t="str"/>
      <x:c r="M27" s="53" t="str">
        <x:v>Open</x:v>
      </x:c>
      <x:c r="N27" s="54" t="str"/>
      <x:c r="O27" s="53" t="str"/>
    </x:row>
    <x:row r="28" ht="50" customHeight="1">
      <x:c r="A28" s="53" t="str">
        <x:v>BUG-025</x:v>
      </x:c>
      <x:c r="B28" s="53" t="str"/>
      <x:c r="C28" s="53" t="str"/>
      <x:c r="D28" s="53" t="str">
        <x:v>Medium</x:v>
      </x:c>
      <x:c r="E28" s="53" t="str"/>
      <x:c r="F28" s="53" t="str">
        <x:v>Development</x:v>
      </x:c>
      <x:c r="G28" s="53" t="str"/>
      <x:c r="H28" s="53" t="str"/>
      <x:c r="I28" s="53" t="str"/>
      <x:c r="J28" s="53" t="str"/>
      <x:c r="K28" s="53" t="str"/>
      <x:c r="L28" s="53" t="str"/>
      <x:c r="M28" s="53" t="str">
        <x:v>Open</x:v>
      </x:c>
      <x:c r="N28" s="54" t="str"/>
      <x:c r="O28" s="53" t="str"/>
    </x:row>
    <x:row r="29" ht="50" customHeight="1">
      <x:c r="A29" s="53" t="str">
        <x:v>BUG-026</x:v>
      </x:c>
      <x:c r="B29" s="53" t="str"/>
      <x:c r="C29" s="53" t="str"/>
      <x:c r="D29" s="53" t="str">
        <x:v>Medium</x:v>
      </x:c>
      <x:c r="E29" s="53" t="str"/>
      <x:c r="F29" s="53" t="str">
        <x:v>Development</x:v>
      </x:c>
      <x:c r="G29" s="53" t="str"/>
      <x:c r="H29" s="53" t="str"/>
      <x:c r="I29" s="53" t="str"/>
      <x:c r="J29" s="53" t="str"/>
      <x:c r="K29" s="53" t="str"/>
      <x:c r="L29" s="53" t="str"/>
      <x:c r="M29" s="53" t="str">
        <x:v>Open</x:v>
      </x:c>
      <x:c r="N29" s="54" t="str"/>
      <x:c r="O29" s="53" t="str"/>
    </x:row>
    <x:row r="30" ht="50" customHeight="1">
      <x:c r="A30" s="53" t="str">
        <x:v>BUG-027</x:v>
      </x:c>
      <x:c r="B30" s="53" t="str"/>
      <x:c r="C30" s="53" t="str"/>
      <x:c r="D30" s="53" t="str">
        <x:v>Medium</x:v>
      </x:c>
      <x:c r="E30" s="53" t="str"/>
      <x:c r="F30" s="53" t="str">
        <x:v>Development</x:v>
      </x:c>
      <x:c r="G30" s="53" t="str"/>
      <x:c r="H30" s="53" t="str"/>
      <x:c r="I30" s="53" t="str"/>
      <x:c r="J30" s="53" t="str"/>
      <x:c r="K30" s="53" t="str"/>
      <x:c r="L30" s="53" t="str"/>
      <x:c r="M30" s="53" t="str">
        <x:v>Open</x:v>
      </x:c>
      <x:c r="N30" s="54" t="str"/>
      <x:c r="O30" s="53" t="str"/>
    </x:row>
    <x:row r="31" ht="50" customHeight="1">
      <x:c r="A31" s="53" t="str">
        <x:v>BUG-028</x:v>
      </x:c>
      <x:c r="B31" s="53" t="str"/>
      <x:c r="C31" s="53" t="str"/>
      <x:c r="D31" s="53" t="str">
        <x:v>Medium</x:v>
      </x:c>
      <x:c r="E31" s="53" t="str"/>
      <x:c r="F31" s="53" t="str">
        <x:v>Development</x:v>
      </x:c>
      <x:c r="G31" s="53" t="str"/>
      <x:c r="H31" s="53" t="str"/>
      <x:c r="I31" s="53" t="str"/>
      <x:c r="J31" s="53" t="str"/>
      <x:c r="K31" s="53" t="str"/>
      <x:c r="L31" s="53" t="str"/>
      <x:c r="M31" s="53" t="str">
        <x:v>Open</x:v>
      </x:c>
      <x:c r="N31" s="54" t="str"/>
      <x:c r="O31" s="53" t="str"/>
    </x:row>
    <x:row r="32" ht="50" customHeight="1">
      <x:c r="A32" s="53" t="str">
        <x:v>BUG-029</x:v>
      </x:c>
      <x:c r="B32" s="53" t="str"/>
      <x:c r="C32" s="53" t="str"/>
      <x:c r="D32" s="53" t="str">
        <x:v>Medium</x:v>
      </x:c>
      <x:c r="E32" s="53" t="str"/>
      <x:c r="F32" s="53" t="str">
        <x:v>Development</x:v>
      </x:c>
      <x:c r="G32" s="53" t="str"/>
      <x:c r="H32" s="53" t="str"/>
      <x:c r="I32" s="53" t="str"/>
      <x:c r="J32" s="53" t="str"/>
      <x:c r="K32" s="53" t="str"/>
      <x:c r="L32" s="53" t="str"/>
      <x:c r="M32" s="53" t="str">
        <x:v>Open</x:v>
      </x:c>
      <x:c r="N32" s="54" t="str"/>
      <x:c r="O32" s="53" t="str"/>
    </x:row>
    <x:row r="33" ht="50" customHeight="1">
      <x:c r="A33" s="53" t="str">
        <x:v>BUG-030</x:v>
      </x:c>
      <x:c r="B33" s="53" t="str"/>
      <x:c r="C33" s="53" t="str"/>
      <x:c r="D33" s="53" t="str">
        <x:v>Medium</x:v>
      </x:c>
      <x:c r="E33" s="53" t="str"/>
      <x:c r="F33" s="53" t="str">
        <x:v>Development</x:v>
      </x:c>
      <x:c r="G33" s="53" t="str"/>
      <x:c r="H33" s="53" t="str"/>
      <x:c r="I33" s="53" t="str"/>
      <x:c r="J33" s="53" t="str"/>
      <x:c r="K33" s="53" t="str"/>
      <x:c r="L33" s="53" t="str"/>
      <x:c r="M33" s="53" t="str">
        <x:v>Open</x:v>
      </x:c>
      <x:c r="N33" s="54" t="str"/>
      <x:c r="O33" s="53" t="str"/>
    </x:row>
    <x:row r="34" ht="50" customHeight="1">
      <x:c r="A34" s="53" t="str">
        <x:v>BUG-031</x:v>
      </x:c>
      <x:c r="B34" s="53" t="str"/>
      <x:c r="C34" s="53" t="str"/>
      <x:c r="D34" s="53" t="str">
        <x:v>Medium</x:v>
      </x:c>
      <x:c r="E34" s="53" t="str"/>
      <x:c r="F34" s="53" t="str">
        <x:v>Development</x:v>
      </x:c>
      <x:c r="G34" s="53" t="str"/>
      <x:c r="H34" s="53" t="str"/>
      <x:c r="I34" s="53" t="str"/>
      <x:c r="J34" s="53" t="str"/>
      <x:c r="K34" s="53" t="str"/>
      <x:c r="L34" s="53" t="str"/>
      <x:c r="M34" s="53" t="str">
        <x:v>Open</x:v>
      </x:c>
      <x:c r="N34" s="54" t="str"/>
      <x:c r="O34" s="53" t="str"/>
    </x:row>
    <x:row r="35" ht="50" customHeight="1">
      <x:c r="A35" s="53" t="str">
        <x:v>BUG-032</x:v>
      </x:c>
      <x:c r="B35" s="53" t="str"/>
      <x:c r="C35" s="53" t="str"/>
      <x:c r="D35" s="53" t="str">
        <x:v>Medium</x:v>
      </x:c>
      <x:c r="E35" s="53" t="str"/>
      <x:c r="F35" s="53" t="str">
        <x:v>Development</x:v>
      </x:c>
      <x:c r="G35" s="53" t="str"/>
      <x:c r="H35" s="53" t="str"/>
      <x:c r="I35" s="53" t="str"/>
      <x:c r="J35" s="53" t="str"/>
      <x:c r="K35" s="53" t="str"/>
      <x:c r="L35" s="53" t="str"/>
      <x:c r="M35" s="53" t="str">
        <x:v>Open</x:v>
      </x:c>
      <x:c r="N35" s="54" t="str"/>
      <x:c r="O35" s="53" t="str"/>
    </x:row>
    <x:row r="36" ht="50" customHeight="1">
      <x:c r="A36" s="53" t="str">
        <x:v>BUG-033</x:v>
      </x:c>
      <x:c r="B36" s="53" t="str"/>
      <x:c r="C36" s="53" t="str"/>
      <x:c r="D36" s="53" t="str">
        <x:v>Medium</x:v>
      </x:c>
      <x:c r="E36" s="53" t="str"/>
      <x:c r="F36" s="53" t="str">
        <x:v>Development</x:v>
      </x:c>
      <x:c r="G36" s="53" t="str"/>
      <x:c r="H36" s="53" t="str"/>
      <x:c r="I36" s="53" t="str"/>
      <x:c r="J36" s="53" t="str"/>
      <x:c r="K36" s="53" t="str"/>
      <x:c r="L36" s="53" t="str"/>
      <x:c r="M36" s="53" t="str">
        <x:v>Open</x:v>
      </x:c>
      <x:c r="N36" s="54" t="str"/>
      <x:c r="O36" s="53" t="str"/>
    </x:row>
    <x:row r="37" ht="50" customHeight="1">
      <x:c r="A37" s="53" t="str">
        <x:v>BUG-034</x:v>
      </x:c>
      <x:c r="B37" s="53" t="str"/>
      <x:c r="C37" s="53" t="str"/>
      <x:c r="D37" s="53" t="str">
        <x:v>Medium</x:v>
      </x:c>
      <x:c r="E37" s="53" t="str"/>
      <x:c r="F37" s="53" t="str">
        <x:v>Development</x:v>
      </x:c>
      <x:c r="G37" s="53" t="str"/>
      <x:c r="H37" s="53" t="str"/>
      <x:c r="I37" s="53" t="str"/>
      <x:c r="J37" s="53" t="str"/>
      <x:c r="K37" s="53" t="str"/>
      <x:c r="L37" s="53" t="str"/>
      <x:c r="M37" s="53" t="str">
        <x:v>Open</x:v>
      </x:c>
      <x:c r="N37" s="54" t="str"/>
      <x:c r="O37" s="53" t="str"/>
    </x:row>
    <x:row r="38" ht="50" customHeight="1">
      <x:c r="A38" s="53" t="str">
        <x:v>BUG-035</x:v>
      </x:c>
      <x:c r="B38" s="53" t="str"/>
      <x:c r="C38" s="53" t="str"/>
      <x:c r="D38" s="53" t="str">
        <x:v>Medium</x:v>
      </x:c>
      <x:c r="E38" s="53" t="str"/>
      <x:c r="F38" s="53" t="str">
        <x:v>Development</x:v>
      </x:c>
      <x:c r="G38" s="53" t="str"/>
      <x:c r="H38" s="53" t="str"/>
      <x:c r="I38" s="53" t="str"/>
      <x:c r="J38" s="53" t="str"/>
      <x:c r="K38" s="53" t="str"/>
      <x:c r="L38" s="53" t="str"/>
      <x:c r="M38" s="53" t="str">
        <x:v>Open</x:v>
      </x:c>
      <x:c r="N38" s="54" t="str"/>
      <x:c r="O38" s="53" t="str"/>
    </x:row>
    <x:row r="39" ht="50" customHeight="1">
      <x:c r="A39" s="53" t="str">
        <x:v>BUG-036</x:v>
      </x:c>
      <x:c r="B39" s="53" t="str"/>
      <x:c r="C39" s="53" t="str"/>
      <x:c r="D39" s="53" t="str">
        <x:v>Medium</x:v>
      </x:c>
      <x:c r="E39" s="53" t="str"/>
      <x:c r="F39" s="53" t="str">
        <x:v>Development</x:v>
      </x:c>
      <x:c r="G39" s="53" t="str"/>
      <x:c r="H39" s="53" t="str"/>
      <x:c r="I39" s="53" t="str"/>
      <x:c r="J39" s="53" t="str"/>
      <x:c r="K39" s="53" t="str"/>
      <x:c r="L39" s="53" t="str"/>
      <x:c r="M39" s="53" t="str">
        <x:v>Open</x:v>
      </x:c>
      <x:c r="N39" s="54" t="str"/>
      <x:c r="O39" s="53" t="str"/>
    </x:row>
    <x:row r="40" ht="50" customHeight="1">
      <x:c r="A40" s="53" t="str">
        <x:v>BUG-037</x:v>
      </x:c>
      <x:c r="B40" s="53" t="str"/>
      <x:c r="C40" s="53" t="str"/>
      <x:c r="D40" s="53" t="str">
        <x:v>Medium</x:v>
      </x:c>
      <x:c r="E40" s="53" t="str"/>
      <x:c r="F40" s="53" t="str">
        <x:v>Development</x:v>
      </x:c>
      <x:c r="G40" s="53" t="str"/>
      <x:c r="H40" s="53" t="str"/>
      <x:c r="I40" s="53" t="str"/>
      <x:c r="J40" s="53" t="str"/>
      <x:c r="K40" s="53" t="str"/>
      <x:c r="L40" s="53" t="str"/>
      <x:c r="M40" s="53" t="str">
        <x:v>Open</x:v>
      </x:c>
      <x:c r="N40" s="54" t="str"/>
      <x:c r="O40" s="53" t="str"/>
    </x:row>
    <x:row r="41" ht="50" customHeight="1">
      <x:c r="A41" s="53" t="str">
        <x:v>BUG-038</x:v>
      </x:c>
      <x:c r="B41" s="53" t="str"/>
      <x:c r="C41" s="53" t="str"/>
      <x:c r="D41" s="53" t="str">
        <x:v>Medium</x:v>
      </x:c>
      <x:c r="E41" s="53" t="str"/>
      <x:c r="F41" s="53" t="str">
        <x:v>Development</x:v>
      </x:c>
      <x:c r="G41" s="53" t="str"/>
      <x:c r="H41" s="53" t="str"/>
      <x:c r="I41" s="53" t="str"/>
      <x:c r="J41" s="53" t="str"/>
      <x:c r="K41" s="53" t="str"/>
      <x:c r="L41" s="53" t="str"/>
      <x:c r="M41" s="53" t="str">
        <x:v>Open</x:v>
      </x:c>
      <x:c r="N41" s="54" t="str"/>
      <x:c r="O41" s="53" t="str"/>
    </x:row>
    <x:row r="42" ht="50" customHeight="1">
      <x:c r="A42" s="53" t="str">
        <x:v>BUG-039</x:v>
      </x:c>
      <x:c r="B42" s="53" t="str"/>
      <x:c r="C42" s="53" t="str"/>
      <x:c r="D42" s="53" t="str">
        <x:v>Medium</x:v>
      </x:c>
      <x:c r="E42" s="53" t="str"/>
      <x:c r="F42" s="53" t="str">
        <x:v>Development</x:v>
      </x:c>
      <x:c r="G42" s="53" t="str"/>
      <x:c r="H42" s="53" t="str"/>
      <x:c r="I42" s="53" t="str"/>
      <x:c r="J42" s="53" t="str"/>
      <x:c r="K42" s="53" t="str"/>
      <x:c r="L42" s="53" t="str"/>
      <x:c r="M42" s="53" t="str">
        <x:v>Open</x:v>
      </x:c>
      <x:c r="N42" s="54" t="str"/>
      <x:c r="O42" s="53" t="str"/>
    </x:row>
    <x:row r="43" ht="50" customHeight="1">
      <x:c r="A43" s="53" t="str">
        <x:v>BUG-040</x:v>
      </x:c>
      <x:c r="B43" s="53" t="str"/>
      <x:c r="C43" s="53" t="str"/>
      <x:c r="D43" s="53" t="str">
        <x:v>Medium</x:v>
      </x:c>
      <x:c r="E43" s="53" t="str"/>
      <x:c r="F43" s="53" t="str">
        <x:v>Development</x:v>
      </x:c>
      <x:c r="G43" s="53" t="str"/>
      <x:c r="H43" s="53" t="str"/>
      <x:c r="I43" s="53" t="str"/>
      <x:c r="J43" s="53" t="str"/>
      <x:c r="K43" s="53" t="str"/>
      <x:c r="L43" s="53" t="str"/>
      <x:c r="M43" s="53" t="str">
        <x:v>Open</x:v>
      </x:c>
      <x:c r="N43" s="54" t="str"/>
      <x:c r="O43" s="53" t="str"/>
    </x:row>
  </x:sheetData>
  <x:mergeCells>
    <x:mergeCell ref="A1:O1"/>
    <x:mergeCell ref="A2:O2"/>
  </x:mergeCells>
  <x:dataValidations count="2">
    <x:dataValidation type="list" sqref="D4:D43">
      <x:formula1>"Critical,High,Medium,Low,Cosmetic"</x:formula1>
    </x:dataValidation>
    <x:dataValidation type="list" sqref="M4:M43">
      <x:formula1>"Open,In Progress,Ready for Retest,Closed,Deferred"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059735b35c4a5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4" hidden="0" customWidth="1"/>
    <x:col min="4" max="4" width="10" hidden="0" customWidth="1"/>
    <x:col min="5" max="5" width="40" hidden="0" customWidth="1"/>
    <x:col min="6" max="6" width="30" hidden="0" customWidth="1"/>
    <x:col min="7" max="7" width="16" hidden="0" customWidth="1"/>
    <x:col min="8" max="8" width="12" hidden="0" customWidth="1"/>
    <x:col min="9" max="9" width="28" hidden="0" customWidth="1"/>
  </x:cols>
  <x:sheetData>
    <x:row r="1" ht="34" customHeight="1">
      <x:c r="A1" s="3" t="str">
        <x:v>Production Release Checklist</x:v>
      </x:c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7" t="str">
        <x:v>Complete in order. A failed P0 gate means stop the release until fixed or explicitly approved by the business owner.</x:v>
      </x:c>
      <x:c r="B2" s="7"/>
      <x:c r="C2" s="7"/>
      <x:c r="D2" s="7"/>
      <x:c r="E2" s="7"/>
      <x:c r="F2" s="7"/>
      <x:c r="G2" s="7"/>
      <x:c r="H2" s="7"/>
      <x:c r="I2" s="7"/>
    </x:row>
    <x:row r="3" ht="32" customHeight="1">
      <x:c r="A3" s="29" t="str">
        <x:v>Gate ID</x:v>
      </x:c>
      <x:c r="B3" s="29" t="str">
        <x:v>Phase</x:v>
      </x:c>
      <x:c r="C3" s="29" t="str">
        <x:v>Check</x:v>
      </x:c>
      <x:c r="D3" s="29" t="str">
        <x:v>Priority</x:v>
      </x:c>
      <x:c r="E3" s="29" t="str">
        <x:v>How to verify</x:v>
      </x:c>
      <x:c r="F3" s="29" t="str">
        <x:v>Expected evidence</x:v>
      </x:c>
      <x:c r="G3" s="29" t="str">
        <x:v>Owner</x:v>
      </x:c>
      <x:c r="H3" s="29" t="str">
        <x:v>Status</x:v>
      </x:c>
      <x:c r="I3" s="29" t="str">
        <x:v>Notes / Link</x:v>
      </x:c>
    </x:row>
    <x:row r="4" ht="50" customHeight="1">
      <x:c r="A4" s="53" t="str">
        <x:v>GATE-01</x:v>
      </x:c>
      <x:c r="B4" s="53" t="str">
        <x:v>Source</x:v>
      </x:c>
      <x:c r="C4" s="53" t="str">
        <x:v>Fetch remotes; compare main and developement; review all intentional differences</x:v>
      </x:c>
      <x:c r="D4" s="53" t="str">
        <x:v>P0</x:v>
      </x:c>
      <x:c r="E4" s="53" t="str">
        <x:v>git fetch --prune; log/diff; review release commit</x:v>
      </x:c>
      <x:c r="F4" s="53" t="str">
        <x:v>Commit IDs and approved diff</x:v>
      </x:c>
      <x:c r="G4" s="53" t="str"/>
      <x:c r="H4" s="53" t="str">
        <x:v>Not Run</x:v>
      </x:c>
      <x:c r="I4" s="53" t="str"/>
    </x:row>
    <x:row r="5" ht="50" customHeight="1">
      <x:c r="A5" s="53" t="str">
        <x:v>GATE-02</x:v>
      </x:c>
      <x:c r="B5" s="53" t="str">
        <x:v>Source</x:v>
      </x:c>
      <x:c r="C5" s="53" t="str">
        <x:v>Working tree contains only intended files</x:v>
      </x:c>
      <x:c r="D5" s="53" t="str">
        <x:v>P0</x:v>
      </x:c>
      <x:c r="E5" s="53" t="str">
        <x:v>git status plus manual review</x:v>
      </x:c>
      <x:c r="F5" s="53" t="str">
        <x:v>Clean or documented status</x:v>
      </x:c>
      <x:c r="G5" s="53" t="str"/>
      <x:c r="H5" s="53" t="str">
        <x:v>Not Run</x:v>
      </x:c>
      <x:c r="I5" s="53" t="str"/>
    </x:row>
    <x:row r="6" ht="50" customHeight="1">
      <x:c r="A6" s="53" t="str">
        <x:v>GATE-03</x:v>
      </x:c>
      <x:c r="B6" s="53" t="str">
        <x:v>Security</x:v>
      </x:c>
      <x:c r="C6" s="53" t="str">
        <x:v>No secrets or unrestricted keys in tracked files/diff</x:v>
      </x:c>
      <x:c r="D6" s="53" t="str">
        <x:v>P0</x:v>
      </x:c>
      <x:c r="E6" s="53" t="str">
        <x:v>Secret scan and GitHub alerts</x:v>
      </x:c>
      <x:c r="F6" s="53" t="str">
        <x:v>Zero unresolved valid alerts</x:v>
      </x:c>
      <x:c r="G6" s="53" t="str"/>
      <x:c r="H6" s="53" t="str">
        <x:v>Not Run</x:v>
      </x:c>
      <x:c r="I6" s="53" t="str"/>
    </x:row>
    <x:row r="7" ht="50" customHeight="1">
      <x:c r="A7" s="53" t="str">
        <x:v>GATE-04</x:v>
      </x:c>
      <x:c r="B7" s="53" t="str">
        <x:v>Firebase</x:v>
      </x:c>
      <x:c r="C7" s="53" t="str">
        <x:v>Functions build and tests pass on supported Node runtime</x:v>
      </x:c>
      <x:c r="D7" s="53" t="str">
        <x:v>P0</x:v>
      </x:c>
      <x:c r="E7" s="53" t="str">
        <x:v>Install/build/test functions</x:v>
      </x:c>
      <x:c r="F7" s="53" t="str">
        <x:v>Passing command output</x:v>
      </x:c>
      <x:c r="G7" s="53" t="str"/>
      <x:c r="H7" s="53" t="str">
        <x:v>Not Run</x:v>
      </x:c>
      <x:c r="I7" s="53" t="str"/>
    </x:row>
    <x:row r="8" ht="50" customHeight="1">
      <x:c r="A8" s="53" t="str">
        <x:v>GATE-05</x:v>
      </x:c>
      <x:c r="B8" s="53" t="str">
        <x:v>Firebase</x:v>
      </x:c>
      <x:c r="C8" s="53" t="str">
        <x:v>Cloud Functions and Firestore rules deployed to correct project</x:v>
      </x:c>
      <x:c r="D8" s="53" t="str">
        <x:v>P0</x:v>
      </x:c>
      <x:c r="E8" s="53" t="str">
        <x:v>Firebase dashboard/CLI deploy history</x:v>
      </x:c>
      <x:c r="F8" s="53" t="str">
        <x:v>Deployment IDs and timestamp</x:v>
      </x:c>
      <x:c r="G8" s="53" t="str"/>
      <x:c r="H8" s="53" t="str">
        <x:v>Not Run</x:v>
      </x:c>
      <x:c r="I8" s="53" t="str"/>
    </x:row>
    <x:row r="9" ht="50" customHeight="1">
      <x:c r="A9" s="53" t="str">
        <x:v>GATE-06</x:v>
      </x:c>
      <x:c r="B9" s="53" t="str">
        <x:v>Payments</x:v>
      </x:c>
      <x:c r="C9" s="53" t="str">
        <x:v>Stripe keys, enable flag, webhook secret, URLs match environment</x:v>
      </x:c>
      <x:c r="D9" s="53" t="str">
        <x:v>P0</x:v>
      </x:c>
      <x:c r="E9" s="53" t="str">
        <x:v>Vercel/Firebase/Stripe dashboard review</x:v>
      </x:c>
      <x:c r="F9" s="53" t="str">
        <x:v>Configuration screenshots without values</x:v>
      </x:c>
      <x:c r="G9" s="53" t="str"/>
      <x:c r="H9" s="53" t="str">
        <x:v>Not Run</x:v>
      </x:c>
      <x:c r="I9" s="53" t="str"/>
    </x:row>
    <x:row r="10" ht="50" customHeight="1">
      <x:c r="A10" s="53" t="str">
        <x:v>GATE-07</x:v>
      </x:c>
      <x:c r="B10" s="53" t="str">
        <x:v>Payments</x:v>
      </x:c>
      <x:c r="C10" s="53" t="str">
        <x:v>Webhook endpoint is healthy and idempotent</x:v>
      </x:c>
      <x:c r="D10" s="53" t="str">
        <x:v>P0</x:v>
      </x:c>
      <x:c r="E10" s="53" t="str">
        <x:v>Send/replay test event</x:v>
      </x:c>
      <x:c r="F10" s="53" t="str">
        <x:v>2xx delivery and one order update</x:v>
      </x:c>
      <x:c r="G10" s="53" t="str"/>
      <x:c r="H10" s="53" t="str">
        <x:v>Not Run</x:v>
      </x:c>
      <x:c r="I10" s="53" t="str"/>
    </x:row>
    <x:row r="11" ht="50" customHeight="1">
      <x:c r="A11" s="53" t="str">
        <x:v>GATE-08</x:v>
      </x:c>
      <x:c r="B11" s="53" t="str">
        <x:v>Payments</x:v>
      </x:c>
      <x:c r="C11" s="53" t="str">
        <x:v>Server rejects client price tampering</x:v>
      </x:c>
      <x:c r="D11" s="53" t="str">
        <x:v>P0</x:v>
      </x:c>
      <x:c r="E11" s="53" t="str">
        <x:v>Alter client price and create test session</x:v>
      </x:c>
      <x:c r="F11" s="53" t="str">
        <x:v>Stripe charges catalog price</x:v>
      </x:c>
      <x:c r="G11" s="53" t="str"/>
      <x:c r="H11" s="53" t="str">
        <x:v>Not Run</x:v>
      </x:c>
      <x:c r="I11" s="53" t="str"/>
    </x:row>
    <x:row r="12" ht="50" customHeight="1">
      <x:c r="A12" s="53" t="str">
        <x:v>GATE-09</x:v>
      </x:c>
      <x:c r="B12" s="53" t="str">
        <x:v>Shipping</x:v>
      </x:c>
      <x:c r="C12" s="53" t="str">
        <x:v>Maps public-config, referrers, and required APIs are correct</x:v>
      </x:c>
      <x:c r="D12" s="53" t="str">
        <x:v>P0</x:v>
      </x:c>
      <x:c r="E12" s="53" t="str">
        <x:v>Check /api/public-config and Google Cloud restrictions</x:v>
      </x:c>
      <x:c r="F12" s="53" t="str">
        <x:v>Autocomplete works only on approved hosts</x:v>
      </x:c>
      <x:c r="G12" s="53" t="str"/>
      <x:c r="H12" s="53" t="str">
        <x:v>Not Run</x:v>
      </x:c>
      <x:c r="I12" s="53" t="str"/>
    </x:row>
    <x:row r="13" ht="50" customHeight="1">
      <x:c r="A13" s="53" t="str">
        <x:v>GATE-10</x:v>
      </x:c>
      <x:c r="B13" s="53" t="str">
        <x:v>Checkout</x:v>
      </x:c>
      <x:c r="C13" s="53" t="str">
        <x:v>Mango-only, mixed, and non-mango payment/fulfillment rules pass</x:v>
      </x:c>
      <x:c r="D13" s="53" t="str">
        <x:v>P0</x:v>
      </x:c>
      <x:c r="E13" s="53" t="str">
        <x:v>Run PAY-001 through PAY-006</x:v>
      </x:c>
      <x:c r="F13" s="53" t="str">
        <x:v>Screenshots for all three cart types</x:v>
      </x:c>
      <x:c r="G13" s="53" t="str"/>
      <x:c r="H13" s="53" t="str">
        <x:v>Not Run</x:v>
      </x:c>
      <x:c r="I13" s="53" t="str"/>
    </x:row>
    <x:row r="14" ht="50" customHeight="1">
      <x:c r="A14" s="53" t="str">
        <x:v>GATE-11</x:v>
      </x:c>
      <x:c r="B14" s="53" t="str">
        <x:v>Checkout</x:v>
      </x:c>
      <x:c r="C14" s="53" t="str">
        <x:v>Tax, shipping fee, free threshold, and promo math pass</x:v>
      </x:c>
      <x:c r="D14" s="53" t="str">
        <x:v>P0</x:v>
      </x:c>
      <x:c r="E14" s="53" t="str">
        <x:v>Boundary tests and Stripe amount comparison</x:v>
      </x:c>
      <x:c r="F14" s="53" t="str">
        <x:v>Reconciled totals</x:v>
      </x:c>
      <x:c r="G14" s="53" t="str"/>
      <x:c r="H14" s="53" t="str">
        <x:v>Not Run</x:v>
      </x:c>
      <x:c r="I14" s="53" t="str"/>
    </x:row>
    <x:row r="15" ht="50" customHeight="1">
      <x:c r="A15" s="53" t="str">
        <x:v>GATE-12</x:v>
      </x:c>
      <x:c r="B15" s="53" t="str">
        <x:v>Catalog</x:v>
      </x:c>
      <x:c r="C15" s="53" t="str">
        <x:v>All approved product images and galleries pass Image Audit</x:v>
      </x:c>
      <x:c r="D15" s="53" t="str">
        <x:v>P1</x:v>
      </x:c>
      <x:c r="E15" s="53" t="str">
        <x:v>Complete Image Audit sheet</x:v>
      </x:c>
      <x:c r="F15" s="53" t="str">
        <x:v>All rows Pass</x:v>
      </x:c>
      <x:c r="G15" s="53" t="str"/>
      <x:c r="H15" s="53" t="str">
        <x:v>Not Run</x:v>
      </x:c>
      <x:c r="I15" s="53" t="str"/>
    </x:row>
    <x:row r="16" ht="50" customHeight="1">
      <x:c r="A16" s="53" t="str">
        <x:v>GATE-13</x:v>
      </x:c>
      <x:c r="B16" s="53" t="str">
        <x:v>Admin</x:v>
      </x:c>
      <x:c r="C16" s="53" t="str">
        <x:v>Price sync does not alter availability; storefront changes reflect</x:v>
      </x:c>
      <x:c r="D16" s="53" t="str">
        <x:v>P0</x:v>
      </x:c>
      <x:c r="E16" s="53" t="str">
        <x:v>Run ADM sync/edit/toggle cases</x:v>
      </x:c>
      <x:c r="F16" s="53" t="str">
        <x:v>Before/after evidence</x:v>
      </x:c>
      <x:c r="G16" s="53" t="str"/>
      <x:c r="H16" s="53" t="str">
        <x:v>Not Run</x:v>
      </x:c>
      <x:c r="I16" s="53" t="str"/>
    </x:row>
    <x:row r="17" ht="50" customHeight="1">
      <x:c r="A17" s="53" t="str">
        <x:v>GATE-14</x:v>
      </x:c>
      <x:c r="B17" s="53" t="str">
        <x:v>Mobile</x:v>
      </x:c>
      <x:c r="C17" s="53" t="str">
        <x:v>Required iPhone and Android device rows pass</x:v>
      </x:c>
      <x:c r="D17" s="53" t="str">
        <x:v>P0</x:v>
      </x:c>
      <x:c r="E17" s="53" t="str">
        <x:v>Complete Device Matrix P0 rows</x:v>
      </x:c>
      <x:c r="F17" s="53" t="str">
        <x:v>Screenshots and browser versions</x:v>
      </x:c>
      <x:c r="G17" s="53" t="str"/>
      <x:c r="H17" s="53" t="str">
        <x:v>Not Run</x:v>
      </x:c>
      <x:c r="I17" s="53" t="str"/>
    </x:row>
    <x:row r="18" ht="50" customHeight="1">
      <x:c r="A18" s="53" t="str">
        <x:v>GATE-15</x:v>
      </x:c>
      <x:c r="B18" s="53" t="str">
        <x:v>SEO</x:v>
      </x:c>
      <x:c r="C18" s="53" t="str">
        <x:v>Canonicals, robots, sitemap, noindex, metadata and broken links pass</x:v>
      </x:c>
      <x:c r="D18" s="53" t="str">
        <x:v>P1</x:v>
      </x:c>
      <x:c r="E18" s="53" t="str">
        <x:v>Run SEO cases/crawl</x:v>
      </x:c>
      <x:c r="F18" s="53" t="str">
        <x:v>Crawler/validator output</x:v>
      </x:c>
      <x:c r="G18" s="53" t="str"/>
      <x:c r="H18" s="53" t="str">
        <x:v>Not Run</x:v>
      </x:c>
      <x:c r="I18" s="53" t="str"/>
    </x:row>
    <x:row r="19" ht="50" customHeight="1">
      <x:c r="A19" s="53" t="str">
        <x:v>GATE-16</x:v>
      </x:c>
      <x:c r="B19" s="53" t="str">
        <x:v>Quality</x:v>
      </x:c>
      <x:c r="C19" s="53" t="str">
        <x:v>All P0/P1 tests pass and no Critical/High defects are open</x:v>
      </x:c>
      <x:c r="D19" s="53" t="str">
        <x:v>P0</x:v>
      </x:c>
      <x:c r="E19" s="53" t="str">
        <x:v>Review Dashboard and Defect Log</x:v>
      </x:c>
      <x:c r="F19" s="53" t="str">
        <x:v>Dashboard screenshot and approvals</x:v>
      </x:c>
      <x:c r="G19" s="53" t="str"/>
      <x:c r="H19" s="53" t="str">
        <x:v>Not Run</x:v>
      </x:c>
      <x:c r="I19" s="53" t="str"/>
    </x:row>
    <x:row r="20" ht="50" customHeight="1">
      <x:c r="A20" s="53" t="str">
        <x:v>GATE-17</x:v>
      </x:c>
      <x:c r="B20" s="53" t="str">
        <x:v>Release</x:v>
      </x:c>
      <x:c r="C20" s="53" t="str">
        <x:v>Rollback commit/deployment recorded</x:v>
      </x:c>
      <x:c r="D20" s="53" t="str">
        <x:v>P1</x:v>
      </x:c>
      <x:c r="E20" s="53" t="str">
        <x:v>Record last known-good main/Vercel deployment</x:v>
      </x:c>
      <x:c r="F20" s="53" t="str">
        <x:v>Commit and deployment URL</x:v>
      </x:c>
      <x:c r="G20" s="53" t="str"/>
      <x:c r="H20" s="53" t="str">
        <x:v>Not Run</x:v>
      </x:c>
      <x:c r="I20" s="53" t="str"/>
    </x:row>
    <x:row r="21" ht="50" customHeight="1">
      <x:c r="A21" s="53" t="str">
        <x:v>GATE-18</x:v>
      </x:c>
      <x:c r="B21" s="53" t="str">
        <x:v>Release</x:v>
      </x:c>
      <x:c r="C21" s="53" t="str">
        <x:v>Deploy main and verify Vercel Ready status</x:v>
      </x:c>
      <x:c r="D21" s="53" t="str">
        <x:v>P0</x:v>
      </x:c>
      <x:c r="E21" s="53" t="str">
        <x:v>Push approved commit; monitor deployment</x:v>
      </x:c>
      <x:c r="F21" s="53" t="str">
        <x:v>Production deployment URL</x:v>
      </x:c>
      <x:c r="G21" s="53" t="str"/>
      <x:c r="H21" s="53" t="str">
        <x:v>Not Run</x:v>
      </x:c>
      <x:c r="I21" s="53" t="str"/>
    </x:row>
    <x:row r="22" ht="50" customHeight="1">
      <x:c r="A22" s="53" t="str">
        <x:v>GATE-19</x:v>
      </x:c>
      <x:c r="B22" s="53" t="str">
        <x:v>Smoke</x:v>
      </x:c>
      <x:c r="C22" s="53" t="str">
        <x:v>Production public smoke passes without a live test charge</x:v>
      </x:c>
      <x:c r="D22" s="53" t="str">
        <x:v>P0</x:v>
      </x:c>
      <x:c r="E22" s="53" t="str">
        <x:v>Home, shop, cart, checkout rules, account, policies</x:v>
      </x:c>
      <x:c r="F22" s="53" t="str">
        <x:v>Smoke evidence</x:v>
      </x:c>
      <x:c r="G22" s="53" t="str"/>
      <x:c r="H22" s="53" t="str">
        <x:v>Not Run</x:v>
      </x:c>
      <x:c r="I22" s="53" t="str"/>
    </x:row>
    <x:row r="23" ht="50" customHeight="1">
      <x:c r="A23" s="53" t="str">
        <x:v>GATE-20</x:v>
      </x:c>
      <x:c r="B23" s="53" t="str">
        <x:v>Monitor</x:v>
      </x:c>
      <x:c r="C23" s="53" t="str">
        <x:v>Analytics, logs, Stripe webhook, Firebase errors checked after release</x:v>
      </x:c>
      <x:c r="D23" s="53" t="str">
        <x:v>P1</x:v>
      </x:c>
      <x:c r="E23" s="53" t="str">
        <x:v>Monitor 30-60 minutes</x:v>
      </x:c>
      <x:c r="F23" s="53" t="str">
        <x:v>No unexplained error spike</x:v>
      </x:c>
      <x:c r="G23" s="53" t="str"/>
      <x:c r="H23" s="53" t="str">
        <x:v>Not Run</x:v>
      </x:c>
      <x:c r="I23" s="53" t="str"/>
    </x:row>
  </x:sheetData>
  <x:mergeCells>
    <x:mergeCell ref="A1:I1"/>
    <x:mergeCell ref="A2:I2"/>
  </x:mergeCells>
  <x:conditionalFormatting sqref="H4:H23">
    <x:cfRule type="expression" dxfId="36" priority="1">
      <x:formula>$H4="Pass"</x:formula>
    </x:cfRule>
    <x:cfRule type="expression" dxfId="37" priority="2">
      <x:formula>$H4="Fail"</x:formula>
    </x:cfRule>
    <x:cfRule type="expression" dxfId="38" priority="3">
      <x:formula>$H4="Blocked"</x:formula>
    </x:cfRule>
    <x:cfRule type="expression" dxfId="39" priority="4">
      <x:formula>$H4="N/A"</x:formula>
    </x:cfRule>
  </x:conditionalFormatting>
  <x:dataValidations count="2">
    <x:dataValidation type="list" sqref="H4:H23">
      <x:formula1>"Not Run,Pass,Fail,Blocked,N/A"</x:formula1>
    </x:dataValidation>
    <x:dataValidation type="list" sqref="D4:D23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30d8a0df0648a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0" hidden="0" customWidth="1"/>
    <x:col min="4" max="4" width="38" hidden="0" customWidth="1"/>
    <x:col min="5" max="5" width="38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Testing Coverage Guide</x:v>
      </x:c>
      <x:c r="B1" s="3"/>
      <x:c r="C1" s="3"/>
      <x:c r="D1" s="3"/>
      <x:c r="E1" s="3"/>
      <x:c r="F1" s="3"/>
      <x:c r="G1" s="3"/>
      <x:c r="H1" s="3"/>
    </x:row>
    <x:row r="2" ht="26" customHeight="1">
      <x:c r="A2" s="7" t="str">
        <x:v>Recommended execution order, test data, and evidence standards for a practical SHRISH release cycle.</x:v>
      </x:c>
      <x:c r="B2" s="7"/>
      <x:c r="C2" s="7"/>
      <x:c r="D2" s="7"/>
      <x:c r="E2" s="7"/>
      <x:c r="F2" s="7"/>
      <x:c r="G2" s="7"/>
      <x:c r="H2" s="7"/>
    </x:row>
    <x:row r="3" ht="24" customHeight="1">
      <x:c r="A3" s="16" t="str">
        <x:v>Recommended execution sequence</x:v>
      </x:c>
      <x:c r="B3" s="16"/>
      <x:c r="C3" s="16"/>
      <x:c r="D3" s="16"/>
      <x:c r="E3" s="16"/>
      <x:c r="F3" s="16"/>
      <x:c r="G3" s="16"/>
      <x:c r="H3" s="16"/>
    </x:row>
    <x:row r="4" ht="32" customHeight="1">
      <x:c r="A4" s="29" t="str">
        <x:v>Phase</x:v>
      </x:c>
      <x:c r="B4" s="29" t="str">
        <x:v>Focus</x:v>
      </x:c>
      <x:c r="C4" s="29" t="str">
        <x:v>Typical time</x:v>
      </x:c>
      <x:c r="D4" s="29" t="str">
        <x:v>Scope</x:v>
      </x:c>
      <x:c r="E4" s="29" t="str">
        <x:v>Rule</x:v>
      </x:c>
    </x:row>
    <x:row r="5" ht="50" customHeight="1">
      <x:c r="A5" s="53" t="str">
        <x:v>Phase 1</x:v>
      </x:c>
      <x:c r="B5" s="53" t="str">
        <x:v>Release gates</x:v>
      </x:c>
      <x:c r="C5" s="53" t="str">
        <x:v>20-30 min</x:v>
      </x:c>
      <x:c r="D5" s="53" t="str">
        <x:v>REL P0, config, deploy, secrets, webhook, functions/rules</x:v>
      </x:c>
      <x:c r="E5" s="53" t="str">
        <x:v>Stop immediately on a P0 failure</x:v>
      </x:c>
    </x:row>
    <x:row r="6" ht="50" customHeight="1">
      <x:c r="A6" s="53" t="str">
        <x:v>Phase 2</x:v>
      </x:c>
      <x:c r="B6" s="53" t="str">
        <x:v>Core business regression</x:v>
      </x:c>
      <x:c r="C6" s="53" t="str">
        <x:v>2-3 hours</x:v>
      </x:c>
      <x:c r="D6" s="53" t="str">
        <x:v>Shop, cart, payment rules, shipping, tax, accounts, admin</x:v>
      </x:c>
      <x:c r="E6" s="53" t="str">
        <x:v>Use development and Stripe test mode</x:v>
      </x:c>
    </x:row>
    <x:row r="7" ht="50" customHeight="1">
      <x:c r="A7" s="53" t="str">
        <x:v>Phase 3</x:v>
      </x:c>
      <x:c r="B7" s="53" t="str">
        <x:v>Cross-device and accessibility</x:v>
      </x:c>
      <x:c r="C7" s="53" t="str">
        <x:v>1-2 hours</x:v>
      </x:c>
      <x:c r="D7" s="53" t="str">
        <x:v>Required Device Matrix rows, keyboard, zoom, mobile safe areas</x:v>
      </x:c>
      <x:c r="E7" s="53" t="str">
        <x:v>Capture screenshots for every P0 device</x:v>
      </x:c>
    </x:row>
    <x:row r="8" ht="50" customHeight="1">
      <x:c r="A8" s="53" t="str">
        <x:v>Phase 4</x:v>
      </x:c>
      <x:c r="B8" s="53" t="str">
        <x:v>SEO, performance, and content</x:v>
      </x:c>
      <x:c r="C8" s="53" t="str">
        <x:v>45-90 min</x:v>
      </x:c>
      <x:c r="D8" s="53" t="str">
        <x:v>SEO, links, structured data, console, cache, analytics</x:v>
      </x:c>
      <x:c r="E8" s="53" t="str">
        <x:v>Record validator/crawl output</x:v>
      </x:c>
    </x:row>
    <x:row r="9" ht="50" customHeight="1">
      <x:c r="A9" s="53" t="str">
        <x:v>Phase 5</x:v>
      </x:c>
      <x:c r="B9" s="53" t="str">
        <x:v>Production smoke</x:v>
      </x:c>
      <x:c r="C9" s="53" t="str">
        <x:v>10-15 min</x:v>
      </x:c>
      <x:c r="D9" s="53" t="str">
        <x:v>Home, shop, cart, checkout-rule display, account, legal pages</x:v>
      </x:c>
      <x:c r="E9" s="53" t="str">
        <x:v>Do not place an unapproved live charge</x:v>
      </x:c>
    </x:row>
    <x:row r="11" ht="24" customHeight="1">
      <x:c r="A11" s="16" t="str">
        <x:v>Required test data</x:v>
      </x:c>
      <x:c r="B11" s="16"/>
      <x:c r="C11" s="16"/>
      <x:c r="D11" s="16"/>
      <x:c r="E11" s="16"/>
      <x:c r="F11" s="16"/>
      <x:c r="G11" s="16"/>
      <x:c r="H11" s="16"/>
    </x:row>
    <x:row r="12" ht="32" customHeight="1">
      <x:c r="A12" s="29" t="str">
        <x:v>Data</x:v>
      </x:c>
      <x:c r="B12" s="29" t="str">
        <x:v>Recommended setup</x:v>
      </x:c>
      <x:c r="C12" s="29" t="str">
        <x:v>Purpose</x:v>
      </x:c>
      <x:c r="D12" s="29" t="str">
        <x:v>Cleanup</x:v>
      </x:c>
    </x:row>
    <x:row r="13" ht="50" customHeight="1">
      <x:c r="A13" s="53" t="str">
        <x:v>Customer</x:v>
      </x:c>
      <x:c r="B13" s="53" t="str">
        <x:v>Unique QA email alias, valid US phone, non-real name prefixed QA</x:v>
      </x:c>
      <x:c r="C13" s="53" t="str">
        <x:v>Account, order claim, email, profile</x:v>
      </x:c>
      <x:c r="D13" s="53" t="str">
        <x:v>Delete only if no retained test orders</x:v>
      </x:c>
    </x:row>
    <x:row r="14" ht="50" customHeight="1">
      <x:c r="A14" s="53" t="str">
        <x:v>Products</x:v>
      </x:c>
      <x:c r="B14" s="53" t="str">
        <x:v>One mango, one veg pickle, one non-veg pickle, one podi, one unavailable product</x:v>
      </x:c>
      <x:c r="C14" s="53" t="str">
        <x:v>Cart rules, filters, images, notify</x:v>
      </x:c>
      <x:c r="D14" s="53" t="str">
        <x:v>Restore availability/order after test</x:v>
      </x:c>
    </x:row>
    <x:row r="15" ht="50" customHeight="1">
      <x:c r="A15" s="53" t="str">
        <x:v>Stripe</x:v>
      </x:c>
      <x:c r="B15" s="53" t="str">
        <x:v>Official Stripe test cards for success, decline, and 3DS</x:v>
      </x:c>
      <x:c r="C15" s="53" t="str">
        <x:v>Payment outcomes and webhook</x:v>
      </x:c>
      <x:c r="D15" s="53" t="str">
        <x:v>Keep in test mode; never store card data</x:v>
      </x:c>
    </x:row>
    <x:row r="16" ht="50" customHeight="1">
      <x:c r="A16" s="53" t="str">
        <x:v>Shipping</x:v>
      </x:c>
      <x:c r="B16" s="53" t="str">
        <x:v>Valid Virginia address plus one out-of-state US address</x:v>
      </x:c>
      <x:c r="C16" s="53" t="str">
        <x:v>Places, tax, shipping fee</x:v>
      </x:c>
      <x:c r="D16" s="53" t="str">
        <x:v>Do not use sensitive personal address in evidence</x:v>
      </x:c>
    </x:row>
    <x:row r="17" ht="50" customHeight="1">
      <x:c r="A17" s="53" t="str">
        <x:v>Promos</x:v>
      </x:c>
      <x:c r="B17" s="53" t="str">
        <x:v>Percent, fixed, free shipping, expired, minimum, one-use</x:v>
      </x:c>
      <x:c r="C17" s="53" t="str">
        <x:v>Promo enforcement</x:v>
      </x:c>
      <x:c r="D17" s="53" t="str">
        <x:v>Disable/delete QA promos after test</x:v>
      </x:c>
    </x:row>
    <x:row r="18" ht="50" customHeight="1">
      <x:c r="A18" s="53" t="str">
        <x:v>Admin orders</x:v>
      </x:c>
      <x:c r="B18" s="53" t="str">
        <x:v>Manual orders clearly labeled QA</x:v>
      </x:c>
      <x:c r="C18" s="53" t="str">
        <x:v>Fulfill, no-show, cancel, reset, print, accounting</x:v>
      </x:c>
      <x:c r="D18" s="53" t="str">
        <x:v>Cancel/archive after regression</x:v>
      </x:c>
    </x:row>
    <x:row r="20" ht="24" customHeight="1">
      <x:c r="A20" s="16" t="str">
        <x:v>Evidence standard</x:v>
      </x:c>
      <x:c r="B20" s="16"/>
      <x:c r="C20" s="16"/>
      <x:c r="D20" s="16"/>
      <x:c r="E20" s="16"/>
      <x:c r="F20" s="16"/>
      <x:c r="G20" s="16"/>
      <x:c r="H20" s="16"/>
    </x:row>
    <x:row r="21" ht="32" customHeight="1">
      <x:c r="A21" s="50" t="str">
        <x:v>Pass</x:v>
      </x:c>
      <x:c r="B21" s="19" t="str">
        <x:v>Record test date, tester, environment, and concise evidence for P0/P1 cases.</x:v>
      </x:c>
      <x:c r="C21" s="19" t="str"/>
      <x:c r="D21" s="19" t="str"/>
      <x:c r="E21" s="19" t="str"/>
      <x:c r="F21" s="19" t="str"/>
      <x:c r="G21" s="19" t="str"/>
      <x:c r="H21" s="19" t="str"/>
    </x:row>
    <x:row r="22" ht="32" customHeight="1">
      <x:c r="A22" s="50" t="str">
        <x:v>Fail</x:v>
      </x:c>
      <x:c r="B22" s="19" t="str">
        <x:v>Capture full-screen screenshot, exact URL, device/browser, order number, steps, actual result, console/network evidence.</x:v>
      </x:c>
      <x:c r="C22" s="19" t="str"/>
      <x:c r="D22" s="19" t="str"/>
      <x:c r="E22" s="19" t="str"/>
      <x:c r="F22" s="19" t="str"/>
      <x:c r="G22" s="19" t="str"/>
      <x:c r="H22" s="19" t="str"/>
    </x:row>
    <x:row r="23" ht="32" customHeight="1">
      <x:c r="A23" s="50" t="str">
        <x:v>Payment</x:v>
      </x:c>
      <x:c r="B23" s="19" t="str">
        <x:v>Record Stripe test session/payment ID and order number. Never paste secret keys or full card data.</x:v>
      </x:c>
      <x:c r="C23" s="19" t="str"/>
      <x:c r="D23" s="19" t="str"/>
      <x:c r="E23" s="19" t="str"/>
      <x:c r="F23" s="19" t="str"/>
      <x:c r="G23" s="19" t="str"/>
      <x:c r="H23" s="19" t="str"/>
    </x:row>
    <x:row r="24" ht="32" customHeight="1">
      <x:c r="A24" s="50" t="str">
        <x:v>Admin</x:v>
      </x:c>
      <x:c r="B24" s="19" t="str">
        <x:v>Use before/after screenshots and identify the exact test product/order changed.</x:v>
      </x:c>
      <x:c r="C24" s="19" t="str"/>
      <x:c r="D24" s="19" t="str"/>
      <x:c r="E24" s="19" t="str"/>
      <x:c r="F24" s="19" t="str"/>
      <x:c r="G24" s="19" t="str"/>
      <x:c r="H24" s="19" t="str"/>
    </x:row>
    <x:row r="25" ht="32" customHeight="1">
      <x:c r="A25" s="50" t="str">
        <x:v>Production</x:v>
      </x:c>
      <x:c r="B25" s="19" t="str">
        <x:v>Record deployment URL/commit and keep production smoke read-only unless a specific live action is approved.</x:v>
      </x:c>
      <x:c r="C25" s="19" t="str"/>
      <x:c r="D25" s="19" t="str"/>
      <x:c r="E25" s="19" t="str"/>
      <x:c r="F25" s="19" t="str"/>
      <x:c r="G25" s="19" t="str"/>
      <x:c r="H25" s="19" t="str"/>
    </x:row>
    <x:row r="27" ht="24" customHeight="1">
      <x:c r="A27" s="16" t="str">
        <x:v>Reference links</x:v>
      </x:c>
      <x:c r="B27" s="16"/>
      <x:c r="C27" s="16"/>
      <x:c r="D27" s="16"/>
      <x:c r="E27" s="16"/>
      <x:c r="F27" s="16"/>
      <x:c r="G27" s="16"/>
      <x:c r="H27" s="16"/>
    </x:row>
    <x:row r="28">
      <x:c r="A28" s="10" t="str">
        <x:v>Development site</x:v>
      </x:c>
      <x:c r="B28" s="61" t="str">
        <x:v>https://dev.shrish.co/</x:v>
      </x:c>
    </x:row>
    <x:row r="29">
      <x:c r="A29" s="10" t="str">
        <x:v>Production site</x:v>
      </x:c>
      <x:c r="B29" s="61" t="str">
        <x:v>https://www.shrish.co/</x:v>
      </x:c>
    </x:row>
    <x:row r="30">
      <x:c r="A30" s="10" t="str">
        <x:v>Stripe test cards</x:v>
      </x:c>
      <x:c r="B30" s="61" t="str">
        <x:v>https://docs.stripe.com/testing</x:v>
      </x:c>
    </x:row>
    <x:row r="31">
      <x:c r="A31" s="10" t="str">
        <x:v>Google Places JavaScript</x:v>
      </x:c>
      <x:c r="B31" s="61" t="str">
        <x:v>https://developers.google.com/maps/documentation/javascript/place-autocomplete-overview</x:v>
      </x:c>
    </x:row>
    <x:row r="32">
      <x:c r="A32" s="10" t="str">
        <x:v>Google Rich Results</x:v>
      </x:c>
      <x:c r="B32" s="61" t="str">
        <x:v>https://search.google.com/test/rich-results</x:v>
      </x:c>
    </x:row>
    <x:row r="33">
      <x:c r="A33" s="10" t="str">
        <x:v>PageSpeed Insights</x:v>
      </x:c>
      <x:c r="B33" s="61" t="str">
        <x:v>https://pagespeed.web.dev/</x:v>
      </x:c>
    </x:row>
  </x:sheetData>
  <x:mergeCells>
    <x:mergeCell ref="A1:H1"/>
    <x:mergeCell ref="A2:H2"/>
    <x:mergeCell ref="A3:H3"/>
    <x:mergeCell ref="A11:H11"/>
    <x:mergeCell ref="A20:H20"/>
    <x:mergeCell ref="B21:H21"/>
    <x:mergeCell ref="B22:H22"/>
    <x:mergeCell ref="B23:H23"/>
    <x:mergeCell ref="B24:H24"/>
    <x:mergeCell ref="B25:H25"/>
    <x:mergeCell ref="A27:H27"/>
  </x:mergeCells>
  <x:pageMargins left="0.7" right="0.7" top="0.75" bottom="0.75" header="0.3" footer="0.3"/>
</x:worksheet>
</file>